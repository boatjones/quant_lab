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200" windowHeight="10380" activeTab="2"/>
  </bookViews>
  <sheets>
    <sheet name="Sectors" sheetId="1" r:id="rId1"/>
    <sheet name="rtport" sheetId="3" r:id="rId2"/>
    <sheet name="Winners" sheetId="7" r:id="rId3"/>
    <sheet name="Stocks" sheetId="2" r:id="rId4"/>
    <sheet name="XLB" sheetId="4" r:id="rId5"/>
    <sheet name="Octane" sheetId="6" r:id="rId6"/>
  </sheets>
  <definedNames>
    <definedName name="_xlnm._FilterDatabase" localSheetId="2" hidden="1">Winners!$A$1:$L$120</definedName>
  </definedNames>
  <calcPr calcId="124519"/>
</workbook>
</file>

<file path=xl/calcChain.xml><?xml version="1.0" encoding="utf-8"?>
<calcChain xmlns="http://schemas.openxmlformats.org/spreadsheetml/2006/main">
  <c r="D3" i="3"/>
  <c r="D4"/>
  <c r="D5"/>
  <c r="D6"/>
  <c r="D7"/>
  <c r="D8"/>
  <c r="D9"/>
  <c r="D10"/>
  <c r="D11"/>
  <c r="D12"/>
  <c r="D13"/>
  <c r="D14"/>
  <c r="D15"/>
  <c r="D16"/>
  <c r="D17"/>
  <c r="D18"/>
  <c r="D19"/>
  <c r="D20"/>
  <c r="D2"/>
  <c r="C3" i="4"/>
  <c r="C4"/>
  <c r="C5"/>
  <c r="C6"/>
  <c r="C7"/>
  <c r="C8"/>
  <c r="C9"/>
  <c r="C10"/>
  <c r="C11"/>
  <c r="C12"/>
  <c r="C13"/>
  <c r="C14"/>
  <c r="C15"/>
  <c r="C16"/>
  <c r="C17"/>
  <c r="C18"/>
  <c r="C19"/>
  <c r="C20"/>
  <c r="C21"/>
  <c r="C2"/>
</calcChain>
</file>

<file path=xl/sharedStrings.xml><?xml version="1.0" encoding="utf-8"?>
<sst xmlns="http://schemas.openxmlformats.org/spreadsheetml/2006/main" count="760" uniqueCount="398">
  <si>
    <t>Ticker</t>
  </si>
  <si>
    <t>Show</t>
  </si>
  <si>
    <t>XLB</t>
  </si>
  <si>
    <t>XLP</t>
  </si>
  <si>
    <t>XLV</t>
  </si>
  <si>
    <t>XLF</t>
  </si>
  <si>
    <t>XLE</t>
  </si>
  <si>
    <t>XLU</t>
  </si>
  <si>
    <t>XLC</t>
  </si>
  <si>
    <t>XLK</t>
  </si>
  <si>
    <t>XLY</t>
  </si>
  <si>
    <t>XLI</t>
  </si>
  <si>
    <t>Materials</t>
  </si>
  <si>
    <t>Financials</t>
  </si>
  <si>
    <t>Energy</t>
  </si>
  <si>
    <t>Utilities</t>
  </si>
  <si>
    <t>Communications</t>
  </si>
  <si>
    <t>Technology</t>
  </si>
  <si>
    <t>Consumer Discretionary</t>
  </si>
  <si>
    <t>Industrials</t>
  </si>
  <si>
    <t>Consumer Staples</t>
  </si>
  <si>
    <t>Health Care</t>
  </si>
  <si>
    <t>Description</t>
  </si>
  <si>
    <t>x</t>
  </si>
  <si>
    <t>XLRE</t>
  </si>
  <si>
    <t>Real Estate</t>
  </si>
  <si>
    <t>AAPL</t>
  </si>
  <si>
    <t>CLS</t>
  </si>
  <si>
    <t>CRS</t>
  </si>
  <si>
    <t>USAP</t>
  </si>
  <si>
    <t>USLM</t>
  </si>
  <si>
    <t>TMDX</t>
  </si>
  <si>
    <t>LIN</t>
  </si>
  <si>
    <t>SHW</t>
  </si>
  <si>
    <t>FCX</t>
  </si>
  <si>
    <t>APD</t>
  </si>
  <si>
    <t>ECL</t>
  </si>
  <si>
    <t>NEM</t>
  </si>
  <si>
    <t>CTVA</t>
  </si>
  <si>
    <t>DOW</t>
  </si>
  <si>
    <t>DD</t>
  </si>
  <si>
    <t>NUE</t>
  </si>
  <si>
    <t>MLM</t>
  </si>
  <si>
    <t>VMC</t>
  </si>
  <si>
    <t>PPG</t>
  </si>
  <si>
    <t>IFF</t>
  </si>
  <si>
    <t>LYB</t>
  </si>
  <si>
    <t>SW</t>
  </si>
  <si>
    <t>BALL</t>
  </si>
  <si>
    <t>PKG</t>
  </si>
  <si>
    <t>STLD</t>
  </si>
  <si>
    <t>AVY</t>
  </si>
  <si>
    <t>NYSE</t>
  </si>
  <si>
    <t>Financial Services</t>
  </si>
  <si>
    <t>Capital Markets</t>
  </si>
  <si>
    <t>NASDAQ</t>
  </si>
  <si>
    <t>Asset Management</t>
  </si>
  <si>
    <t>Software - Application</t>
  </si>
  <si>
    <t>InterDigital, Inc.</t>
  </si>
  <si>
    <t>IDCC</t>
  </si>
  <si>
    <t>Consumer Cyclical</t>
  </si>
  <si>
    <t>Healthcare</t>
  </si>
  <si>
    <t>Banks - Regional</t>
  </si>
  <si>
    <t>Aerospace &amp; Defense</t>
  </si>
  <si>
    <t>Semiconductors</t>
  </si>
  <si>
    <t>Oil &amp; Gas Equipment &amp; Services</t>
  </si>
  <si>
    <t>Oil &amp; Gas Midstream</t>
  </si>
  <si>
    <t>Biotechnology</t>
  </si>
  <si>
    <t>Medical Devices</t>
  </si>
  <si>
    <t>Electronic Components</t>
  </si>
  <si>
    <t>Software - Infrastructure</t>
  </si>
  <si>
    <t>Basic Materials</t>
  </si>
  <si>
    <t>Gold</t>
  </si>
  <si>
    <t>Newmont Corporation</t>
  </si>
  <si>
    <t>Credit Services</t>
  </si>
  <si>
    <t>Oil &amp; Gas Exploration &amp; Production</t>
  </si>
  <si>
    <t>KB Financial Group Inc.</t>
  </si>
  <si>
    <t>KB</t>
  </si>
  <si>
    <t>Communication Equipment</t>
  </si>
  <si>
    <t>Ubiquiti Inc.</t>
  </si>
  <si>
    <t>UI</t>
  </si>
  <si>
    <t>Taiwan Semiconductor Manufacturing Company Limited</t>
  </si>
  <si>
    <t>TSM</t>
  </si>
  <si>
    <t>Communication Services</t>
  </si>
  <si>
    <t>Entertainment</t>
  </si>
  <si>
    <t>Celestica Inc.</t>
  </si>
  <si>
    <t>Engineering &amp; Construction</t>
  </si>
  <si>
    <t>Metal Fabrication</t>
  </si>
  <si>
    <t>AMEX</t>
  </si>
  <si>
    <t>Electrical Equipment &amp; Parts</t>
  </si>
  <si>
    <t>Health Information Services</t>
  </si>
  <si>
    <t>MPWR</t>
  </si>
  <si>
    <t>Semiconductor Equipment &amp; Materials</t>
  </si>
  <si>
    <t>NVMI</t>
  </si>
  <si>
    <t>Diagnostics &amp; Research</t>
  </si>
  <si>
    <t>AEM</t>
  </si>
  <si>
    <t>Rental &amp; Leasing Services</t>
  </si>
  <si>
    <t>Internet Content &amp; Information</t>
  </si>
  <si>
    <t>Drug Manufacturers - Specialty &amp; Generic</t>
  </si>
  <si>
    <t>KNSA</t>
  </si>
  <si>
    <t>Marine Shipping</t>
  </si>
  <si>
    <t>Euroseas Ltd.</t>
  </si>
  <si>
    <t>ESEA</t>
  </si>
  <si>
    <t>APP</t>
  </si>
  <si>
    <t>Willdan Group, Inc.</t>
  </si>
  <si>
    <t>WLDN</t>
  </si>
  <si>
    <t>Embraer S.A.</t>
  </si>
  <si>
    <t>Advertising Agencies</t>
  </si>
  <si>
    <t>Scientific &amp; Technical Instruments</t>
  </si>
  <si>
    <t>COHR</t>
  </si>
  <si>
    <t>YOU</t>
  </si>
  <si>
    <t>Credo Technology Group Holding Ltd</t>
  </si>
  <si>
    <t>CRDO</t>
  </si>
  <si>
    <t>Leisure</t>
  </si>
  <si>
    <t>Specialty Chemicals</t>
  </si>
  <si>
    <t>Palantir Technologies Inc.</t>
  </si>
  <si>
    <t>PLTR</t>
  </si>
  <si>
    <t>IES Holdings, Inc.</t>
  </si>
  <si>
    <t>IESC</t>
  </si>
  <si>
    <t>Alnylam Pharmaceuticals, Inc.</t>
  </si>
  <si>
    <t>ALNY</t>
  </si>
  <si>
    <t>Travel Services</t>
  </si>
  <si>
    <t>Solar</t>
  </si>
  <si>
    <t>Insurance - Property &amp; Casualty</t>
  </si>
  <si>
    <t>N/A</t>
  </si>
  <si>
    <t>Steel</t>
  </si>
  <si>
    <t>Dave Inc.</t>
  </si>
  <si>
    <t>DAVE</t>
  </si>
  <si>
    <t>Carpenter Technology Corporation</t>
  </si>
  <si>
    <t>exchange</t>
  </si>
  <si>
    <t>sector</t>
  </si>
  <si>
    <t>industry</t>
  </si>
  <si>
    <t>company_name</t>
  </si>
  <si>
    <t>CIVI</t>
  </si>
  <si>
    <t>CPG</t>
  </si>
  <si>
    <t>CRK</t>
  </si>
  <si>
    <t>MGY</t>
  </si>
  <si>
    <t>MRO</t>
  </si>
  <si>
    <t>PR</t>
  </si>
  <si>
    <t>RRC</t>
  </si>
  <si>
    <t>SM</t>
  </si>
  <si>
    <t>VET</t>
  </si>
  <si>
    <t>GPOR</t>
  </si>
  <si>
    <t>CHRD</t>
  </si>
  <si>
    <t>OVV</t>
  </si>
  <si>
    <t>PBF</t>
  </si>
  <si>
    <t>VLO</t>
  </si>
  <si>
    <t>DINO</t>
  </si>
  <si>
    <t>PARR</t>
  </si>
  <si>
    <t>PSX</t>
  </si>
  <si>
    <t>CVI</t>
  </si>
  <si>
    <t>MPC</t>
  </si>
  <si>
    <t>TS</t>
  </si>
  <si>
    <t>LBRT</t>
  </si>
  <si>
    <t>BP</t>
  </si>
  <si>
    <t>E</t>
  </si>
  <si>
    <t>SHEL</t>
  </si>
  <si>
    <t>TTE</t>
  </si>
  <si>
    <t>ARLP</t>
  </si>
  <si>
    <t>BTU</t>
  </si>
  <si>
    <t>CEIX</t>
  </si>
  <si>
    <t>ARCH</t>
  </si>
  <si>
    <t>FROG</t>
  </si>
  <si>
    <t>GOOG</t>
  </si>
  <si>
    <t>MNST</t>
  </si>
  <si>
    <t>DUAVF</t>
  </si>
  <si>
    <t>MT</t>
  </si>
  <si>
    <t>RNMBY</t>
  </si>
  <si>
    <t>SAABY</t>
  </si>
  <si>
    <t>TKAMY</t>
  </si>
  <si>
    <t>ASML</t>
  </si>
  <si>
    <t>COST</t>
  </si>
  <si>
    <t>ODFL</t>
  </si>
  <si>
    <t>NOW</t>
  </si>
  <si>
    <t>Vertiv Holdings Co - Class A</t>
  </si>
  <si>
    <t>VRT</t>
  </si>
  <si>
    <t>Resorts &amp; Casinos</t>
  </si>
  <si>
    <t>Wynn Resorts Ltd</t>
  </si>
  <si>
    <t>WYNN</t>
  </si>
  <si>
    <t>Focus Financial Partners Inc - Class A</t>
  </si>
  <si>
    <t>FOCS</t>
  </si>
  <si>
    <t>Chase Corporation</t>
  </si>
  <si>
    <t>CCF</t>
  </si>
  <si>
    <t>Clear Secure Inc Class A</t>
  </si>
  <si>
    <t>Banco Latinoamericano de Comercio Exterior, S. A.</t>
  </si>
  <si>
    <t>BLX</t>
  </si>
  <si>
    <t>Industrial Distribution</t>
  </si>
  <si>
    <t>DXP Enterprises, Inc.</t>
  </si>
  <si>
    <t>DXPE</t>
  </si>
  <si>
    <t>Penns Woods Bancorp, Inc.</t>
  </si>
  <si>
    <t>PWOD</t>
  </si>
  <si>
    <t>Uber Technologies Inc</t>
  </si>
  <si>
    <t>UBER</t>
  </si>
  <si>
    <t>Quanta Services, Inc.</t>
  </si>
  <si>
    <t>PWR</t>
  </si>
  <si>
    <t>Airlines</t>
  </si>
  <si>
    <t>Copa Holdings, S.A.</t>
  </si>
  <si>
    <t>CPA</t>
  </si>
  <si>
    <t>Expedia Group, Inc.</t>
  </si>
  <si>
    <t>EXPE</t>
  </si>
  <si>
    <t>StoneX Group Inc.</t>
  </si>
  <si>
    <t>SNEX</t>
  </si>
  <si>
    <t>TKO Group Holdings, Inc.</t>
  </si>
  <si>
    <t>TKO</t>
  </si>
  <si>
    <t>Banks - Diversified</t>
  </si>
  <si>
    <t>Bank of N T Butterfield &amp; Son Ltd</t>
  </si>
  <si>
    <t>NTB</t>
  </si>
  <si>
    <t>Southern States Bancshares, Inc.</t>
  </si>
  <si>
    <t>SSBK</t>
  </si>
  <si>
    <t>Corcept Therapeutics Incorporated</t>
  </si>
  <si>
    <t>CORT</t>
  </si>
  <si>
    <t>Shopify Inc.</t>
  </si>
  <si>
    <t>SHOP</t>
  </si>
  <si>
    <t>Consulting Services</t>
  </si>
  <si>
    <t>Huron Consulting Group Inc</t>
  </si>
  <si>
    <t>HURN</t>
  </si>
  <si>
    <t>Interactive Brokers Group Inc - Class A</t>
  </si>
  <si>
    <t>IBKR</t>
  </si>
  <si>
    <t>Morgan Stanley</t>
  </si>
  <si>
    <t>MS</t>
  </si>
  <si>
    <t>Teekay Tankers Ltd - Class A</t>
  </si>
  <si>
    <t>TNK</t>
  </si>
  <si>
    <t>Genmab A/S</t>
  </si>
  <si>
    <t>GMAB</t>
  </si>
  <si>
    <t>Canadian Imperial Bank Of Commerce</t>
  </si>
  <si>
    <t>CM</t>
  </si>
  <si>
    <t>Argen X SE</t>
  </si>
  <si>
    <t>ARGX</t>
  </si>
  <si>
    <t>International Seaways, Inc.</t>
  </si>
  <si>
    <t>INSW</t>
  </si>
  <si>
    <t>Ryanair Holdings plc</t>
  </si>
  <si>
    <t>RYAAY</t>
  </si>
  <si>
    <t>The Bank of New York Mellon Corporation</t>
  </si>
  <si>
    <t>BK</t>
  </si>
  <si>
    <t>ANI Pharmaceuticals, Inc.</t>
  </si>
  <si>
    <t>ANIP</t>
  </si>
  <si>
    <t>APi Group Corporation</t>
  </si>
  <si>
    <t>APG</t>
  </si>
  <si>
    <t>Mimecast Limited</t>
  </si>
  <si>
    <t>MIME</t>
  </si>
  <si>
    <t>Specialty Business Services</t>
  </si>
  <si>
    <t>SP Plus Corp</t>
  </si>
  <si>
    <t>SP</t>
  </si>
  <si>
    <t>AerCap Holdings N.V.</t>
  </si>
  <si>
    <t>AER</t>
  </si>
  <si>
    <t>Viking Holdings Ltd</t>
  </si>
  <si>
    <t>VIK</t>
  </si>
  <si>
    <t>Bankwell Financial Group Inc</t>
  </si>
  <si>
    <t>BWFG</t>
  </si>
  <si>
    <t>Ascendis Pharma A/S</t>
  </si>
  <si>
    <t>ASND</t>
  </si>
  <si>
    <t>Goldman Sachs Group Inc</t>
  </si>
  <si>
    <t>GS</t>
  </si>
  <si>
    <t>FirstCash Holdings, Inc</t>
  </si>
  <si>
    <t>FCFS</t>
  </si>
  <si>
    <t>Airports &amp; Air Services</t>
  </si>
  <si>
    <t>Grupo Aeroportuario del Centro Norte, S.A.B. de C.V.</t>
  </si>
  <si>
    <t>OMAB</t>
  </si>
  <si>
    <t>Coastal Financial Corporation</t>
  </si>
  <si>
    <t>CCB</t>
  </si>
  <si>
    <t>HCI Group Inc</t>
  </si>
  <si>
    <t>HCI</t>
  </si>
  <si>
    <t>REIT - Healthcare Facilities</t>
  </si>
  <si>
    <t>Welltower Inc</t>
  </si>
  <si>
    <t>WELL</t>
  </si>
  <si>
    <t>Lodging</t>
  </si>
  <si>
    <t>H World Group Limited</t>
  </si>
  <si>
    <t>HTHT</t>
  </si>
  <si>
    <t>Uranium</t>
  </si>
  <si>
    <t>Cameco Corporation</t>
  </si>
  <si>
    <t>CCJ</t>
  </si>
  <si>
    <t>Reddit, Inc.</t>
  </si>
  <si>
    <t>RDDT</t>
  </si>
  <si>
    <t>Waste Management</t>
  </si>
  <si>
    <t>Heritage-Crystal Clean, Inc</t>
  </si>
  <si>
    <t>HCCI</t>
  </si>
  <si>
    <t>Amer Sports, Inc.</t>
  </si>
  <si>
    <t>AS</t>
  </si>
  <si>
    <t>Cornerstone OnDemand, Inc.</t>
  </si>
  <si>
    <t>CSOD</t>
  </si>
  <si>
    <t>Home Improvement</t>
  </si>
  <si>
    <t>CalAtlantic Group, Inc.</t>
  </si>
  <si>
    <t>CAA</t>
  </si>
  <si>
    <t>Squarespace Inc - Class A</t>
  </si>
  <si>
    <t>SQSP</t>
  </si>
  <si>
    <t>Citigroup Inc</t>
  </si>
  <si>
    <t>C</t>
  </si>
  <si>
    <t>MasTec, Inc.</t>
  </si>
  <si>
    <t>MTZ</t>
  </si>
  <si>
    <t>Nayax Ltd</t>
  </si>
  <si>
    <t>NYAX</t>
  </si>
  <si>
    <t>Collegium Pharmaceutical Inc</t>
  </si>
  <si>
    <t>COLL</t>
  </si>
  <si>
    <t>BeiGene Ltd</t>
  </si>
  <si>
    <t>ONC</t>
  </si>
  <si>
    <t>Medpace Holdings, Inc.</t>
  </si>
  <si>
    <t>MEDP</t>
  </si>
  <si>
    <t>Atour Lifestyle Holdings Limited</t>
  </si>
  <si>
    <t>ATAT</t>
  </si>
  <si>
    <t>Primoris Services Corporation</t>
  </si>
  <si>
    <t>PRIM</t>
  </si>
  <si>
    <t>Celgene Corporation</t>
  </si>
  <si>
    <t>CELG</t>
  </si>
  <si>
    <t>Franklin Financial Services Corporation</t>
  </si>
  <si>
    <t>FRAF</t>
  </si>
  <si>
    <t>Auto - Parts</t>
  </si>
  <si>
    <t xml:space="preserve">TOYOTA MOTOR CORPORATION ADRHEDGED </t>
  </si>
  <si>
    <t>TMH</t>
  </si>
  <si>
    <t>GigaCloud Technology Inc - Class A</t>
  </si>
  <si>
    <t>GCT</t>
  </si>
  <si>
    <t>Sociedad Química y Minera de Chile S.A.</t>
  </si>
  <si>
    <t>SQM</t>
  </si>
  <si>
    <t>Brigham Minerals Inc - Class A</t>
  </si>
  <si>
    <t>MNRL</t>
  </si>
  <si>
    <t>Camtek Ltd.</t>
  </si>
  <si>
    <t>CAMT</t>
  </si>
  <si>
    <t>Monolithic Power System Inc</t>
  </si>
  <si>
    <t>ATI Inc</t>
  </si>
  <si>
    <t>ATI</t>
  </si>
  <si>
    <t>Global Ship Lease Inc - Class A</t>
  </si>
  <si>
    <t>GSL</t>
  </si>
  <si>
    <t>Banco de Chile</t>
  </si>
  <si>
    <t>BCH</t>
  </si>
  <si>
    <t>EMBJ</t>
  </si>
  <si>
    <t>ECHO BAY MINES LTD</t>
  </si>
  <si>
    <t>ECO</t>
  </si>
  <si>
    <t>American Healthcare REIT, Inc.</t>
  </si>
  <si>
    <t>AHR</t>
  </si>
  <si>
    <t>The Toronto-Dominion Bank</t>
  </si>
  <si>
    <t>TD</t>
  </si>
  <si>
    <t>Pollution &amp; Treatment Controls</t>
  </si>
  <si>
    <t>Ceco Environmental Corp</t>
  </si>
  <si>
    <t>CECO</t>
  </si>
  <si>
    <t>Coherent Corp</t>
  </si>
  <si>
    <t>Travere Therapeutics Inc</t>
  </si>
  <si>
    <t>TVTX</t>
  </si>
  <si>
    <t>Woori Financial Group Inc.</t>
  </si>
  <si>
    <t>WF</t>
  </si>
  <si>
    <t>Iradimed Corp</t>
  </si>
  <si>
    <t>IRMD</t>
  </si>
  <si>
    <t>Nova Ltd</t>
  </si>
  <si>
    <t>Rambus Inc</t>
  </si>
  <si>
    <t>RMBS</t>
  </si>
  <si>
    <t>Splunk Inc</t>
  </si>
  <si>
    <t>SPLK</t>
  </si>
  <si>
    <t>LATAM Airlines Group S.A.</t>
  </si>
  <si>
    <t>LTM</t>
  </si>
  <si>
    <t>Alamos Gold Inc - Class A</t>
  </si>
  <si>
    <t>AGI</t>
  </si>
  <si>
    <t>Applovin Corp - Class A</t>
  </si>
  <si>
    <t>BrightSpring Health Services Inc</t>
  </si>
  <si>
    <t>BTSG</t>
  </si>
  <si>
    <t>Solaris Energy Infrastructure Inc - Class A</t>
  </si>
  <si>
    <t>SEI</t>
  </si>
  <si>
    <t>Kiniksa Pharmaceuticals International plc. - Class A</t>
  </si>
  <si>
    <t>Agnico Eagle Mines Ltd</t>
  </si>
  <si>
    <t>Comfort Systems USA, Inc.</t>
  </si>
  <si>
    <t>FIX</t>
  </si>
  <si>
    <t>Other Precious Metals &amp; Mining</t>
  </si>
  <si>
    <t>Triple Flag Precious Metals Corp.</t>
  </si>
  <si>
    <t>TFPM</t>
  </si>
  <si>
    <t>Other Precious Metals</t>
  </si>
  <si>
    <t>Turquoise Hill Resources Ltd</t>
  </si>
  <si>
    <t>TRQ</t>
  </si>
  <si>
    <t>Transmedics Group Inc</t>
  </si>
  <si>
    <t>Futu Holdings Ltd</t>
  </si>
  <si>
    <t>FUTU</t>
  </si>
  <si>
    <t>Deutsche Bank AG</t>
  </si>
  <si>
    <t>DB</t>
  </si>
  <si>
    <t>Pan American Silver Corp</t>
  </si>
  <si>
    <t>PAAS</t>
  </si>
  <si>
    <t>Telecom Services</t>
  </si>
  <si>
    <t>Globalstar, Inc.</t>
  </si>
  <si>
    <t>GSAT</t>
  </si>
  <si>
    <t>Argan Inc</t>
  </si>
  <si>
    <t>AGX</t>
  </si>
  <si>
    <t>Universal Stainless &amp; Alloy Products Inc</t>
  </si>
  <si>
    <t>Nextracker Inc - Class A</t>
  </si>
  <si>
    <t>NXT</t>
  </si>
  <si>
    <t>Utilities - Renewable</t>
  </si>
  <si>
    <t>Enlight Renewable Energy Ltd</t>
  </si>
  <si>
    <t>ENLT</t>
  </si>
  <si>
    <t>ACM Research, Inc.</t>
  </si>
  <si>
    <t>ACMR</t>
  </si>
  <si>
    <t>Oil &amp; Gas Refining &amp; Marketing</t>
  </si>
  <si>
    <t>Par Pacific Holdings, Inc.</t>
  </si>
  <si>
    <t>Astronics Corporation</t>
  </si>
  <si>
    <t>ATRO</t>
  </si>
  <si>
    <t>Robinhood Markets Inc - Class A</t>
  </si>
  <si>
    <t>HOOD</t>
  </si>
  <si>
    <t>Viasat, Inc.</t>
  </si>
  <si>
    <t>VSAT</t>
  </si>
  <si>
    <t>pe_ratio</t>
  </si>
  <si>
    <t>revenue_cagr_3y</t>
  </si>
  <si>
    <t>ebit</t>
  </si>
  <si>
    <t>rs_percentile</t>
  </si>
  <si>
    <t>market_cap</t>
  </si>
  <si>
    <t>current_price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</si>
</sst>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</font>
    <font>
      <sz val="10"/>
      <name val="Lucida Sans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0" fillId="0" borderId="0" xfId="1" applyNumberFormat="1" applyFont="1"/>
    <xf numFmtId="3" fontId="0" fillId="0" borderId="0" xfId="0" applyNumberFormat="1"/>
    <xf numFmtId="164" fontId="2" fillId="0" borderId="1" xfId="1" applyNumberFormat="1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F21" sqref="F21"/>
    </sheetView>
  </sheetViews>
  <sheetFormatPr defaultRowHeight="15"/>
  <cols>
    <col min="2" max="2" width="5.625" style="2" customWidth="1"/>
    <col min="3" max="3" width="19.125" bestFit="1" customWidth="1"/>
  </cols>
  <sheetData>
    <row r="1" spans="1:3">
      <c r="A1" s="1" t="s">
        <v>0</v>
      </c>
      <c r="B1" s="1" t="s">
        <v>1</v>
      </c>
      <c r="C1" s="1" t="s">
        <v>22</v>
      </c>
    </row>
    <row r="2" spans="1:3">
      <c r="A2" t="s">
        <v>24</v>
      </c>
      <c r="B2" s="2" t="s">
        <v>23</v>
      </c>
      <c r="C2" t="s">
        <v>25</v>
      </c>
    </row>
    <row r="3" spans="1:3">
      <c r="A3" t="s">
        <v>10</v>
      </c>
      <c r="B3" s="2" t="s">
        <v>23</v>
      </c>
      <c r="C3" t="s">
        <v>18</v>
      </c>
    </row>
    <row r="4" spans="1:3">
      <c r="A4" t="s">
        <v>9</v>
      </c>
      <c r="B4" s="2" t="s">
        <v>23</v>
      </c>
      <c r="C4" t="s">
        <v>17</v>
      </c>
    </row>
    <row r="5" spans="1:3">
      <c r="A5" t="s">
        <v>2</v>
      </c>
      <c r="B5" s="2" t="s">
        <v>23</v>
      </c>
      <c r="C5" t="s">
        <v>12</v>
      </c>
    </row>
    <row r="6" spans="1:3">
      <c r="A6" t="s">
        <v>11</v>
      </c>
      <c r="B6" s="2" t="s">
        <v>23</v>
      </c>
      <c r="C6" t="s">
        <v>19</v>
      </c>
    </row>
    <row r="7" spans="1:3">
      <c r="A7" t="s">
        <v>6</v>
      </c>
      <c r="B7" s="2" t="s">
        <v>23</v>
      </c>
      <c r="C7" t="s">
        <v>14</v>
      </c>
    </row>
    <row r="8" spans="1:3">
      <c r="A8" t="s">
        <v>4</v>
      </c>
      <c r="B8" s="2" t="s">
        <v>23</v>
      </c>
      <c r="C8" t="s">
        <v>21</v>
      </c>
    </row>
    <row r="9" spans="1:3">
      <c r="A9" t="s">
        <v>3</v>
      </c>
      <c r="B9" s="2" t="s">
        <v>23</v>
      </c>
      <c r="C9" t="s">
        <v>20</v>
      </c>
    </row>
    <row r="10" spans="1:3">
      <c r="A10" t="s">
        <v>8</v>
      </c>
      <c r="B10" s="2" t="s">
        <v>23</v>
      </c>
      <c r="C10" t="s">
        <v>16</v>
      </c>
    </row>
    <row r="11" spans="1:3">
      <c r="A11" t="s">
        <v>7</v>
      </c>
      <c r="B11" s="2" t="s">
        <v>23</v>
      </c>
      <c r="C11" t="s">
        <v>15</v>
      </c>
    </row>
    <row r="12" spans="1:3">
      <c r="A12" t="s">
        <v>5</v>
      </c>
      <c r="B12" s="2" t="s">
        <v>23</v>
      </c>
      <c r="C12" t="s">
        <v>13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selection activeCell="B11" sqref="B11"/>
    </sheetView>
  </sheetViews>
  <sheetFormatPr defaultRowHeight="15"/>
  <cols>
    <col min="2" max="2" width="4" style="2" customWidth="1"/>
  </cols>
  <sheetData>
    <row r="1" spans="1:4">
      <c r="A1" s="1" t="s">
        <v>0</v>
      </c>
      <c r="B1" s="1" t="s">
        <v>1</v>
      </c>
    </row>
    <row r="2" spans="1:4">
      <c r="A2" t="s">
        <v>26</v>
      </c>
      <c r="B2" s="2" t="s">
        <v>23</v>
      </c>
      <c r="D2" t="str">
        <f>IF(NOT(ISNA(VLOOKUP(A2,#REF!,1,FALSE))),"Yes","No")</f>
        <v>Yes</v>
      </c>
    </row>
    <row r="3" spans="1:4">
      <c r="A3" t="s">
        <v>162</v>
      </c>
      <c r="B3" s="2" t="s">
        <v>23</v>
      </c>
      <c r="D3" t="str">
        <f>IF(NOT(ISNA(VLOOKUP(A3,#REF!,1,FALSE))),"Yes","No")</f>
        <v>Yes</v>
      </c>
    </row>
    <row r="4" spans="1:4">
      <c r="A4" t="s">
        <v>163</v>
      </c>
      <c r="B4" s="2" t="s">
        <v>23</v>
      </c>
      <c r="D4" t="str">
        <f>IF(NOT(ISNA(VLOOKUP(A4,#REF!,1,FALSE))),"Yes","No")</f>
        <v>Yes</v>
      </c>
    </row>
    <row r="5" spans="1:4">
      <c r="A5" t="s">
        <v>164</v>
      </c>
      <c r="B5" s="2" t="s">
        <v>23</v>
      </c>
      <c r="D5" t="str">
        <f>IF(NOT(ISNA(VLOOKUP(A5,#REF!,1,FALSE))),"Yes","No")</f>
        <v>Yes</v>
      </c>
    </row>
    <row r="6" spans="1:4">
      <c r="A6" t="s">
        <v>165</v>
      </c>
      <c r="B6" s="2" t="s">
        <v>23</v>
      </c>
      <c r="D6" t="str">
        <f>IF(NOT(ISNA(VLOOKUP(A6,#REF!,1,FALSE))),"Yes","No")</f>
        <v>Yes</v>
      </c>
    </row>
    <row r="7" spans="1:4">
      <c r="A7" t="s">
        <v>166</v>
      </c>
      <c r="B7" s="2" t="s">
        <v>23</v>
      </c>
      <c r="D7" t="str">
        <f>IF(NOT(ISNA(VLOOKUP(A7,#REF!,1,FALSE))),"Yes","No")</f>
        <v>Yes</v>
      </c>
    </row>
    <row r="8" spans="1:4">
      <c r="A8" t="s">
        <v>167</v>
      </c>
      <c r="B8" s="2" t="s">
        <v>23</v>
      </c>
      <c r="D8" t="str">
        <f>IF(NOT(ISNA(VLOOKUP(A8,#REF!,1,FALSE))),"Yes","No")</f>
        <v>Yes</v>
      </c>
    </row>
    <row r="9" spans="1:4">
      <c r="A9" t="s">
        <v>168</v>
      </c>
      <c r="B9" s="2" t="s">
        <v>23</v>
      </c>
      <c r="D9" t="str">
        <f>IF(NOT(ISNA(VLOOKUP(A9,#REF!,1,FALSE))),"Yes","No")</f>
        <v>Yes</v>
      </c>
    </row>
    <row r="10" spans="1:4">
      <c r="A10" t="s">
        <v>169</v>
      </c>
      <c r="D10" t="str">
        <f>IF(NOT(ISNA(VLOOKUP(A10,#REF!,1,FALSE))),"Yes","No")</f>
        <v>Yes</v>
      </c>
    </row>
    <row r="11" spans="1:4">
      <c r="A11" t="s">
        <v>170</v>
      </c>
      <c r="B11" s="2" t="s">
        <v>23</v>
      </c>
      <c r="D11" t="str">
        <f>IF(NOT(ISNA(VLOOKUP(A11,#REF!,1,FALSE))),"Yes","No")</f>
        <v>Yes</v>
      </c>
    </row>
    <row r="12" spans="1:4">
      <c r="A12" t="s">
        <v>171</v>
      </c>
      <c r="B12" s="2" t="s">
        <v>23</v>
      </c>
      <c r="D12" t="str">
        <f>IF(NOT(ISNA(VLOOKUP(A12,#REF!,1,FALSE))),"Yes","No")</f>
        <v>Yes</v>
      </c>
    </row>
    <row r="13" spans="1:4">
      <c r="A13" t="s">
        <v>172</v>
      </c>
      <c r="B13" s="2" t="s">
        <v>23</v>
      </c>
      <c r="D13" t="str">
        <f>IF(NOT(ISNA(VLOOKUP(A13,#REF!,1,FALSE))),"Yes","No")</f>
        <v>Yes</v>
      </c>
    </row>
    <row r="14" spans="1:4">
      <c r="A14" t="s">
        <v>173</v>
      </c>
      <c r="B14" s="2" t="s">
        <v>23</v>
      </c>
      <c r="D14" t="str">
        <f>IF(NOT(ISNA(VLOOKUP(A14,#REF!,1,FALSE))),"Yes","No")</f>
        <v>Yes</v>
      </c>
    </row>
    <row r="15" spans="1:4">
      <c r="A15" t="s">
        <v>30</v>
      </c>
      <c r="B15" s="2" t="s">
        <v>23</v>
      </c>
      <c r="D15" t="str">
        <f>IF(NOT(ISNA(VLOOKUP(A15,#REF!,1,FALSE))),"Yes","No")</f>
        <v>Yes</v>
      </c>
    </row>
    <row r="16" spans="1:4">
      <c r="D16" t="str">
        <f>IF(NOT(ISNA(VLOOKUP(A16,#REF!,1,FALSE))),"Yes","No")</f>
        <v>Yes</v>
      </c>
    </row>
    <row r="17" spans="4:4">
      <c r="D17" t="str">
        <f>IF(NOT(ISNA(VLOOKUP(A17,#REF!,1,FALSE))),"Yes","No")</f>
        <v>Yes</v>
      </c>
    </row>
    <row r="18" spans="4:4">
      <c r="D18" t="str">
        <f>IF(NOT(ISNA(VLOOKUP(A18,#REF!,1,FALSE))),"Yes","No")</f>
        <v>Yes</v>
      </c>
    </row>
    <row r="19" spans="4:4">
      <c r="D19" t="str">
        <f>IF(NOT(ISNA(VLOOKUP(A19,#REF!,1,FALSE))),"Yes","No")</f>
        <v>Yes</v>
      </c>
    </row>
    <row r="20" spans="4:4">
      <c r="D20" t="str">
        <f>IF(NOT(ISNA(VLOOKUP(A20,#REF!,1,FALSE))),"Yes","No")</f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0"/>
  <sheetViews>
    <sheetView tabSelected="1" workbookViewId="0">
      <selection activeCell="C9" sqref="C9"/>
    </sheetView>
  </sheetViews>
  <sheetFormatPr defaultRowHeight="15"/>
  <cols>
    <col min="1" max="1" width="9.25" bestFit="1" customWidth="1"/>
    <col min="2" max="2" width="9" bestFit="1" customWidth="1"/>
    <col min="3" max="3" width="36.375" customWidth="1"/>
    <col min="4" max="4" width="19.5" bestFit="1" customWidth="1"/>
    <col min="5" max="5" width="32.375" bestFit="1" customWidth="1"/>
    <col min="6" max="6" width="8.25" bestFit="1" customWidth="1"/>
    <col min="7" max="7" width="11.25" bestFit="1" customWidth="1"/>
    <col min="8" max="8" width="16" style="6" bestFit="1" customWidth="1"/>
    <col min="9" max="9" width="11.125" bestFit="1" customWidth="1"/>
    <col min="10" max="10" width="16" style="6" bestFit="1" customWidth="1"/>
    <col min="11" max="11" width="14.25" style="5" bestFit="1" customWidth="1"/>
    <col min="12" max="12" width="10" bestFit="1" customWidth="1"/>
  </cols>
  <sheetData>
    <row r="1" spans="1:12">
      <c r="A1" s="3" t="s">
        <v>0</v>
      </c>
      <c r="B1" s="3" t="s">
        <v>1</v>
      </c>
      <c r="C1" s="3" t="s">
        <v>132</v>
      </c>
      <c r="D1" s="3" t="s">
        <v>130</v>
      </c>
      <c r="E1" s="3" t="s">
        <v>131</v>
      </c>
      <c r="F1" s="3" t="s">
        <v>129</v>
      </c>
      <c r="G1" s="3" t="s">
        <v>397</v>
      </c>
      <c r="H1" s="8" t="s">
        <v>396</v>
      </c>
      <c r="I1" s="3" t="s">
        <v>395</v>
      </c>
      <c r="J1" s="8" t="s">
        <v>394</v>
      </c>
      <c r="K1" s="7" t="s">
        <v>393</v>
      </c>
      <c r="L1" s="3" t="s">
        <v>392</v>
      </c>
    </row>
    <row r="2" spans="1:12">
      <c r="A2" t="s">
        <v>391</v>
      </c>
      <c r="B2" t="s">
        <v>23</v>
      </c>
      <c r="C2" t="s">
        <v>390</v>
      </c>
      <c r="D2" t="s">
        <v>17</v>
      </c>
      <c r="E2" t="s">
        <v>78</v>
      </c>
      <c r="F2" t="s">
        <v>55</v>
      </c>
      <c r="G2">
        <v>36.119999999999997</v>
      </c>
      <c r="H2" s="6">
        <v>3855235400</v>
      </c>
      <c r="I2">
        <v>98.77</v>
      </c>
      <c r="J2" s="6">
        <v>35775000</v>
      </c>
      <c r="K2" s="5">
        <v>0.23200000000000001</v>
      </c>
      <c r="L2">
        <v>-62.74</v>
      </c>
    </row>
    <row r="3" spans="1:12">
      <c r="A3" t="s">
        <v>27</v>
      </c>
      <c r="B3" t="s">
        <v>23</v>
      </c>
      <c r="C3" t="s">
        <v>85</v>
      </c>
      <c r="D3" t="s">
        <v>17</v>
      </c>
      <c r="E3" t="s">
        <v>69</v>
      </c>
      <c r="F3" t="s">
        <v>52</v>
      </c>
      <c r="G3">
        <v>342.03</v>
      </c>
      <c r="H3" s="6">
        <v>28555442000</v>
      </c>
      <c r="I3">
        <v>98.51</v>
      </c>
      <c r="J3" s="6">
        <v>212616490</v>
      </c>
      <c r="K3" s="5">
        <v>0.1963</v>
      </c>
      <c r="L3">
        <v>107.83</v>
      </c>
    </row>
    <row r="4" spans="1:12">
      <c r="A4" t="s">
        <v>389</v>
      </c>
      <c r="C4" t="s">
        <v>388</v>
      </c>
      <c r="D4" t="s">
        <v>53</v>
      </c>
      <c r="E4" t="s">
        <v>54</v>
      </c>
      <c r="F4" t="s">
        <v>55</v>
      </c>
      <c r="G4">
        <v>135.71</v>
      </c>
      <c r="H4" s="6">
        <v>131430743699</v>
      </c>
      <c r="I4">
        <v>98.36</v>
      </c>
      <c r="J4" s="6">
        <v>635000000</v>
      </c>
      <c r="K4" s="5">
        <v>0.1759</v>
      </c>
      <c r="L4">
        <v>236.39</v>
      </c>
    </row>
    <row r="5" spans="1:12">
      <c r="A5" t="s">
        <v>387</v>
      </c>
      <c r="B5" t="s">
        <v>23</v>
      </c>
      <c r="C5" t="s">
        <v>386</v>
      </c>
      <c r="D5" t="s">
        <v>19</v>
      </c>
      <c r="E5" t="s">
        <v>63</v>
      </c>
      <c r="F5" t="s">
        <v>55</v>
      </c>
      <c r="G5">
        <v>53.15</v>
      </c>
      <c r="H5" s="6">
        <v>562590000</v>
      </c>
      <c r="I5">
        <v>98.12</v>
      </c>
      <c r="J5" s="6">
        <v>23055000</v>
      </c>
      <c r="K5" s="5">
        <v>0.2137</v>
      </c>
      <c r="L5">
        <v>-34.700000000000003</v>
      </c>
    </row>
    <row r="6" spans="1:12">
      <c r="A6" t="s">
        <v>148</v>
      </c>
      <c r="C6" t="s">
        <v>385</v>
      </c>
      <c r="D6" t="s">
        <v>14</v>
      </c>
      <c r="E6" t="s">
        <v>384</v>
      </c>
      <c r="F6" t="s">
        <v>52</v>
      </c>
      <c r="G6">
        <v>43.09</v>
      </c>
      <c r="H6" s="6">
        <v>1802771740</v>
      </c>
      <c r="I6">
        <v>97.29</v>
      </c>
      <c r="J6" s="6">
        <v>358516000</v>
      </c>
      <c r="K6" s="5">
        <v>0.19189999999999999</v>
      </c>
      <c r="L6">
        <v>6.86</v>
      </c>
    </row>
    <row r="7" spans="1:12">
      <c r="A7" t="s">
        <v>383</v>
      </c>
      <c r="B7" t="s">
        <v>23</v>
      </c>
      <c r="C7" t="s">
        <v>382</v>
      </c>
      <c r="D7" t="s">
        <v>17</v>
      </c>
      <c r="E7" t="s">
        <v>92</v>
      </c>
      <c r="F7" t="s">
        <v>55</v>
      </c>
      <c r="G7">
        <v>37.04</v>
      </c>
      <c r="H7" s="6">
        <v>2677052068</v>
      </c>
      <c r="I7">
        <v>97.23</v>
      </c>
      <c r="J7" s="6">
        <v>28923000</v>
      </c>
      <c r="K7" s="5">
        <v>0.44400000000000001</v>
      </c>
      <c r="L7">
        <v>74.59</v>
      </c>
    </row>
    <row r="8" spans="1:12">
      <c r="A8" t="s">
        <v>116</v>
      </c>
      <c r="C8" t="s">
        <v>115</v>
      </c>
      <c r="D8" t="s">
        <v>17</v>
      </c>
      <c r="E8" t="s">
        <v>70</v>
      </c>
      <c r="F8" t="s">
        <v>52</v>
      </c>
      <c r="G8">
        <v>181.84</v>
      </c>
      <c r="H8" s="6">
        <v>467426988140</v>
      </c>
      <c r="I8">
        <v>97.01</v>
      </c>
      <c r="J8" s="6">
        <v>393256000</v>
      </c>
      <c r="K8" s="5">
        <v>0.22950000000000001</v>
      </c>
      <c r="L8">
        <v>982.82</v>
      </c>
    </row>
    <row r="9" spans="1:12">
      <c r="A9" t="s">
        <v>381</v>
      </c>
      <c r="C9" t="s">
        <v>380</v>
      </c>
      <c r="D9" t="s">
        <v>15</v>
      </c>
      <c r="E9" t="s">
        <v>379</v>
      </c>
      <c r="F9" t="s">
        <v>55</v>
      </c>
      <c r="G9">
        <v>39.57</v>
      </c>
      <c r="H9" s="6">
        <v>4186871732</v>
      </c>
      <c r="I9">
        <v>96.85</v>
      </c>
      <c r="J9" s="6">
        <v>70038000</v>
      </c>
      <c r="K9" s="5">
        <v>0.57299999999999995</v>
      </c>
      <c r="L9">
        <v>190.09</v>
      </c>
    </row>
    <row r="10" spans="1:12">
      <c r="A10" t="s">
        <v>378</v>
      </c>
      <c r="B10" t="s">
        <v>23</v>
      </c>
      <c r="C10" t="s">
        <v>377</v>
      </c>
      <c r="D10" t="s">
        <v>17</v>
      </c>
      <c r="E10" t="s">
        <v>122</v>
      </c>
      <c r="F10" t="s">
        <v>55</v>
      </c>
      <c r="G10">
        <v>88.58</v>
      </c>
      <c r="H10" s="6">
        <v>8800546320</v>
      </c>
      <c r="I10">
        <v>96.74</v>
      </c>
      <c r="J10" s="6">
        <v>186230000</v>
      </c>
      <c r="K10" s="5">
        <v>0.26619999999999999</v>
      </c>
      <c r="L10">
        <v>55.99</v>
      </c>
    </row>
    <row r="11" spans="1:12">
      <c r="A11" t="s">
        <v>112</v>
      </c>
      <c r="C11" t="s">
        <v>111</v>
      </c>
      <c r="D11" t="s">
        <v>17</v>
      </c>
      <c r="E11" t="s">
        <v>64</v>
      </c>
      <c r="F11" t="s">
        <v>55</v>
      </c>
      <c r="G11">
        <v>170.29</v>
      </c>
      <c r="H11" s="6">
        <v>7798851900</v>
      </c>
      <c r="I11">
        <v>96.7</v>
      </c>
      <c r="J11" s="6">
        <v>78796000</v>
      </c>
      <c r="K11" s="5">
        <v>0.6008</v>
      </c>
      <c r="L11">
        <v>149.44999999999999</v>
      </c>
    </row>
    <row r="12" spans="1:12">
      <c r="A12" t="s">
        <v>105</v>
      </c>
      <c r="B12" t="s">
        <v>23</v>
      </c>
      <c r="C12" t="s">
        <v>104</v>
      </c>
      <c r="D12" t="s">
        <v>19</v>
      </c>
      <c r="E12" t="s">
        <v>86</v>
      </c>
      <c r="F12" t="s">
        <v>55</v>
      </c>
      <c r="G12">
        <v>103.19</v>
      </c>
      <c r="H12" s="6">
        <v>1389037090</v>
      </c>
      <c r="I12">
        <v>96.55</v>
      </c>
      <c r="J12" s="6">
        <v>14862000</v>
      </c>
      <c r="K12" s="5">
        <v>0.16950000000000001</v>
      </c>
      <c r="L12">
        <v>101.23</v>
      </c>
    </row>
    <row r="13" spans="1:12">
      <c r="A13" t="s">
        <v>29</v>
      </c>
      <c r="C13" t="s">
        <v>376</v>
      </c>
      <c r="D13" t="s">
        <v>71</v>
      </c>
      <c r="E13" t="s">
        <v>125</v>
      </c>
      <c r="F13" t="s">
        <v>55</v>
      </c>
      <c r="G13">
        <v>44.99</v>
      </c>
      <c r="H13" s="6">
        <v>384082715</v>
      </c>
      <c r="I13">
        <v>96.54</v>
      </c>
      <c r="J13" s="6">
        <v>13025000</v>
      </c>
      <c r="K13" s="5">
        <v>0.16739999999999999</v>
      </c>
      <c r="L13">
        <v>34.75</v>
      </c>
    </row>
    <row r="14" spans="1:12">
      <c r="A14" t="s">
        <v>102</v>
      </c>
      <c r="C14" t="s">
        <v>101</v>
      </c>
      <c r="D14" t="s">
        <v>19</v>
      </c>
      <c r="E14" t="s">
        <v>100</v>
      </c>
      <c r="F14" t="s">
        <v>55</v>
      </c>
      <c r="G14">
        <v>58.83</v>
      </c>
      <c r="H14" s="6">
        <v>416101704</v>
      </c>
      <c r="I14">
        <v>96.44</v>
      </c>
      <c r="J14" s="6">
        <v>32505180</v>
      </c>
      <c r="K14" s="5">
        <v>0.31380000000000002</v>
      </c>
      <c r="L14">
        <v>14.01</v>
      </c>
    </row>
    <row r="15" spans="1:12">
      <c r="A15" t="s">
        <v>37</v>
      </c>
      <c r="B15" t="s">
        <v>23</v>
      </c>
      <c r="C15" t="s">
        <v>73</v>
      </c>
      <c r="D15" t="s">
        <v>71</v>
      </c>
      <c r="E15" t="s">
        <v>72</v>
      </c>
      <c r="F15" t="s">
        <v>52</v>
      </c>
      <c r="G15">
        <v>94.09</v>
      </c>
      <c r="H15" s="6">
        <v>92741000000</v>
      </c>
      <c r="I15">
        <v>96.34</v>
      </c>
      <c r="J15" s="6">
        <v>2459000000</v>
      </c>
      <c r="K15" s="5">
        <v>0.15040000000000001</v>
      </c>
      <c r="L15">
        <v>50.62</v>
      </c>
    </row>
    <row r="16" spans="1:12">
      <c r="A16" t="s">
        <v>375</v>
      </c>
      <c r="B16" t="s">
        <v>23</v>
      </c>
      <c r="C16" t="s">
        <v>374</v>
      </c>
      <c r="D16" t="s">
        <v>19</v>
      </c>
      <c r="E16" t="s">
        <v>86</v>
      </c>
      <c r="F16" t="s">
        <v>52</v>
      </c>
      <c r="G16">
        <v>332.87</v>
      </c>
      <c r="H16" s="6">
        <v>3455555037</v>
      </c>
      <c r="I16">
        <v>96.05</v>
      </c>
      <c r="J16" s="6">
        <v>30055000</v>
      </c>
      <c r="K16" s="5">
        <v>0.1973</v>
      </c>
      <c r="L16">
        <v>97.96</v>
      </c>
    </row>
    <row r="17" spans="1:12">
      <c r="A17" t="s">
        <v>373</v>
      </c>
      <c r="B17" t="s">
        <v>23</v>
      </c>
      <c r="C17" t="s">
        <v>372</v>
      </c>
      <c r="D17" t="s">
        <v>83</v>
      </c>
      <c r="E17" t="s">
        <v>371</v>
      </c>
      <c r="F17" t="s">
        <v>55</v>
      </c>
      <c r="G17">
        <v>68.239999999999995</v>
      </c>
      <c r="H17" s="6">
        <v>4610176320</v>
      </c>
      <c r="I17">
        <v>95.85</v>
      </c>
      <c r="J17" s="6">
        <v>10271000</v>
      </c>
      <c r="K17" s="5">
        <v>0.26290000000000002</v>
      </c>
      <c r="L17">
        <v>-2912.3</v>
      </c>
    </row>
    <row r="18" spans="1:12">
      <c r="A18" t="s">
        <v>127</v>
      </c>
      <c r="C18" t="s">
        <v>126</v>
      </c>
      <c r="D18" t="s">
        <v>17</v>
      </c>
      <c r="E18" t="s">
        <v>57</v>
      </c>
      <c r="F18" t="s">
        <v>55</v>
      </c>
      <c r="G18">
        <v>194.69</v>
      </c>
      <c r="H18" s="6">
        <v>2895618754</v>
      </c>
      <c r="I18">
        <v>95.83</v>
      </c>
      <c r="J18" s="6">
        <v>45898000</v>
      </c>
      <c r="K18" s="5">
        <v>0.31390000000000001</v>
      </c>
      <c r="L18">
        <v>31.45</v>
      </c>
    </row>
    <row r="19" spans="1:12">
      <c r="A19" t="s">
        <v>370</v>
      </c>
      <c r="B19" t="s">
        <v>23</v>
      </c>
      <c r="C19" t="s">
        <v>369</v>
      </c>
      <c r="D19" t="s">
        <v>71</v>
      </c>
      <c r="E19" t="s">
        <v>72</v>
      </c>
      <c r="F19" t="s">
        <v>52</v>
      </c>
      <c r="G19">
        <v>48.41</v>
      </c>
      <c r="H19" s="6">
        <v>14675145570</v>
      </c>
      <c r="I19">
        <v>95.67</v>
      </c>
      <c r="J19" s="6">
        <v>249700000</v>
      </c>
      <c r="K19" s="5">
        <v>0.1996</v>
      </c>
      <c r="L19">
        <v>87.04</v>
      </c>
    </row>
    <row r="20" spans="1:12">
      <c r="A20" t="s">
        <v>368</v>
      </c>
      <c r="C20" t="s">
        <v>367</v>
      </c>
      <c r="D20" t="s">
        <v>53</v>
      </c>
      <c r="E20" t="s">
        <v>62</v>
      </c>
      <c r="F20" t="s">
        <v>52</v>
      </c>
      <c r="G20">
        <v>37.15</v>
      </c>
      <c r="H20" s="6">
        <v>70816459000</v>
      </c>
      <c r="I20">
        <v>95.59</v>
      </c>
      <c r="J20" s="6">
        <v>2445000000</v>
      </c>
      <c r="K20" s="5">
        <v>0.29220000000000002</v>
      </c>
      <c r="L20">
        <v>39.94</v>
      </c>
    </row>
    <row r="21" spans="1:12">
      <c r="A21" t="s">
        <v>366</v>
      </c>
      <c r="C21" t="s">
        <v>365</v>
      </c>
      <c r="D21" t="s">
        <v>53</v>
      </c>
      <c r="E21" t="s">
        <v>54</v>
      </c>
      <c r="F21" t="s">
        <v>55</v>
      </c>
      <c r="G21">
        <v>173.37</v>
      </c>
      <c r="H21" s="6">
        <v>17400730460</v>
      </c>
      <c r="I21">
        <v>95.22</v>
      </c>
      <c r="J21" s="6">
        <v>3343983000</v>
      </c>
      <c r="K21" s="5">
        <v>0.2407</v>
      </c>
      <c r="L21">
        <v>6.76</v>
      </c>
    </row>
    <row r="22" spans="1:12">
      <c r="A22" t="s">
        <v>31</v>
      </c>
      <c r="C22" t="s">
        <v>364</v>
      </c>
      <c r="D22" t="s">
        <v>61</v>
      </c>
      <c r="E22" t="s">
        <v>68</v>
      </c>
      <c r="F22" t="s">
        <v>55</v>
      </c>
      <c r="G22">
        <v>134.80000000000001</v>
      </c>
      <c r="H22" s="6">
        <v>4571928181</v>
      </c>
      <c r="I22">
        <v>95.17</v>
      </c>
      <c r="J22" s="6">
        <v>23300000</v>
      </c>
      <c r="K22" s="5">
        <v>1.4436</v>
      </c>
      <c r="L22">
        <v>188</v>
      </c>
    </row>
    <row r="23" spans="1:12">
      <c r="A23" t="s">
        <v>363</v>
      </c>
      <c r="C23" t="s">
        <v>362</v>
      </c>
      <c r="D23" t="s">
        <v>71</v>
      </c>
      <c r="E23" t="s">
        <v>361</v>
      </c>
      <c r="F23" t="s">
        <v>52</v>
      </c>
      <c r="G23">
        <v>31.41</v>
      </c>
      <c r="H23" s="6">
        <v>5950400670</v>
      </c>
      <c r="I23">
        <v>95.12</v>
      </c>
      <c r="J23" s="6">
        <v>55219000</v>
      </c>
      <c r="K23" s="5">
        <v>0.1865</v>
      </c>
      <c r="L23">
        <v>148.63</v>
      </c>
    </row>
    <row r="24" spans="1:12">
      <c r="A24" t="s">
        <v>360</v>
      </c>
      <c r="B24" t="s">
        <v>23</v>
      </c>
      <c r="C24" t="s">
        <v>359</v>
      </c>
      <c r="D24" t="s">
        <v>71</v>
      </c>
      <c r="E24" t="s">
        <v>358</v>
      </c>
      <c r="F24" t="s">
        <v>52</v>
      </c>
      <c r="G24">
        <v>33.450000000000003</v>
      </c>
      <c r="H24" s="6">
        <v>6046768459</v>
      </c>
      <c r="I24">
        <v>95.09</v>
      </c>
      <c r="J24" s="6">
        <v>56523000</v>
      </c>
      <c r="K24" s="5">
        <v>0.21379999999999999</v>
      </c>
      <c r="L24">
        <v>97.66</v>
      </c>
    </row>
    <row r="25" spans="1:12">
      <c r="A25" t="s">
        <v>357</v>
      </c>
      <c r="C25" t="s">
        <v>356</v>
      </c>
      <c r="D25" t="s">
        <v>19</v>
      </c>
      <c r="E25" t="s">
        <v>86</v>
      </c>
      <c r="F25" t="s">
        <v>52</v>
      </c>
      <c r="G25">
        <v>983.61</v>
      </c>
      <c r="H25" s="6">
        <v>29162994982</v>
      </c>
      <c r="I25">
        <v>94.94</v>
      </c>
      <c r="J25" s="6">
        <v>378874000</v>
      </c>
      <c r="K25" s="5">
        <v>0.31740000000000002</v>
      </c>
      <c r="L25">
        <v>100.01</v>
      </c>
    </row>
    <row r="26" spans="1:12">
      <c r="A26" t="s">
        <v>95</v>
      </c>
      <c r="B26" t="s">
        <v>23</v>
      </c>
      <c r="C26" t="s">
        <v>355</v>
      </c>
      <c r="D26" t="s">
        <v>71</v>
      </c>
      <c r="E26" t="s">
        <v>72</v>
      </c>
      <c r="F26" t="s">
        <v>52</v>
      </c>
      <c r="G26">
        <v>166.28</v>
      </c>
      <c r="H26" s="6">
        <v>84876533840</v>
      </c>
      <c r="I26">
        <v>94.9</v>
      </c>
      <c r="J26" s="6">
        <v>1624423612</v>
      </c>
      <c r="K26" s="5">
        <v>0.29270000000000002</v>
      </c>
      <c r="L26">
        <v>81.36</v>
      </c>
    </row>
    <row r="27" spans="1:12">
      <c r="A27" t="s">
        <v>99</v>
      </c>
      <c r="C27" t="s">
        <v>354</v>
      </c>
      <c r="D27" t="s">
        <v>61</v>
      </c>
      <c r="E27" t="s">
        <v>98</v>
      </c>
      <c r="F27" t="s">
        <v>55</v>
      </c>
      <c r="G27">
        <v>41.14</v>
      </c>
      <c r="H27" s="6">
        <v>3029802777</v>
      </c>
      <c r="I27">
        <v>94.83</v>
      </c>
      <c r="J27" s="6">
        <v>24021000</v>
      </c>
      <c r="K27" s="5">
        <v>1.2226999999999999</v>
      </c>
      <c r="L27">
        <v>164.35</v>
      </c>
    </row>
    <row r="28" spans="1:12">
      <c r="A28" t="s">
        <v>353</v>
      </c>
      <c r="B28" t="s">
        <v>23</v>
      </c>
      <c r="C28" t="s">
        <v>352</v>
      </c>
      <c r="D28" t="s">
        <v>14</v>
      </c>
      <c r="E28" t="s">
        <v>65</v>
      </c>
      <c r="F28" t="s">
        <v>52</v>
      </c>
      <c r="G28">
        <v>53.69</v>
      </c>
      <c r="H28" s="6">
        <v>1065895235</v>
      </c>
      <c r="I28">
        <v>94.55</v>
      </c>
      <c r="J28" s="6">
        <v>37082000</v>
      </c>
      <c r="K28" s="5">
        <v>0.25290000000000001</v>
      </c>
      <c r="L28">
        <v>89.16</v>
      </c>
    </row>
    <row r="29" spans="1:12">
      <c r="A29" t="s">
        <v>351</v>
      </c>
      <c r="C29" t="s">
        <v>350</v>
      </c>
      <c r="D29" t="s">
        <v>61</v>
      </c>
      <c r="E29" t="s">
        <v>90</v>
      </c>
      <c r="F29" t="s">
        <v>55</v>
      </c>
      <c r="G29">
        <v>35.43</v>
      </c>
      <c r="H29" s="6">
        <v>6443547920</v>
      </c>
      <c r="I29">
        <v>94.5</v>
      </c>
      <c r="J29" s="6">
        <v>87843000</v>
      </c>
      <c r="K29" s="5">
        <v>0.1893</v>
      </c>
      <c r="L29">
        <v>115.4</v>
      </c>
    </row>
    <row r="30" spans="1:12">
      <c r="A30" t="s">
        <v>103</v>
      </c>
      <c r="C30" t="s">
        <v>349</v>
      </c>
      <c r="D30" t="s">
        <v>83</v>
      </c>
      <c r="E30" t="s">
        <v>107</v>
      </c>
      <c r="F30" t="s">
        <v>55</v>
      </c>
      <c r="G30">
        <v>724.62</v>
      </c>
      <c r="H30" s="6">
        <v>245003457960</v>
      </c>
      <c r="I30">
        <v>94.48</v>
      </c>
      <c r="J30" s="6">
        <v>1079007000</v>
      </c>
      <c r="K30" s="5">
        <v>0.19020000000000001</v>
      </c>
      <c r="L30">
        <v>293.23</v>
      </c>
    </row>
    <row r="31" spans="1:12">
      <c r="A31" t="s">
        <v>59</v>
      </c>
      <c r="C31" t="s">
        <v>58</v>
      </c>
      <c r="D31" t="s">
        <v>17</v>
      </c>
      <c r="E31" t="s">
        <v>57</v>
      </c>
      <c r="F31" t="s">
        <v>55</v>
      </c>
      <c r="G31">
        <v>363.09</v>
      </c>
      <c r="H31" s="6">
        <v>12033121039</v>
      </c>
      <c r="I31">
        <v>94.38</v>
      </c>
      <c r="J31" s="6">
        <v>75808000</v>
      </c>
      <c r="K31" s="5">
        <v>0.26860000000000001</v>
      </c>
      <c r="L31">
        <v>178.26</v>
      </c>
    </row>
    <row r="32" spans="1:12">
      <c r="A32" t="s">
        <v>348</v>
      </c>
      <c r="C32" t="s">
        <v>347</v>
      </c>
      <c r="D32" t="s">
        <v>71</v>
      </c>
      <c r="E32" t="s">
        <v>72</v>
      </c>
      <c r="F32" t="s">
        <v>52</v>
      </c>
      <c r="G32">
        <v>36.58</v>
      </c>
      <c r="H32" s="6">
        <v>14738110800</v>
      </c>
      <c r="I32">
        <v>94.29</v>
      </c>
      <c r="J32" s="6">
        <v>231900312</v>
      </c>
      <c r="K32" s="5">
        <v>0.1782</v>
      </c>
      <c r="L32">
        <v>53.94</v>
      </c>
    </row>
    <row r="33" spans="1:12">
      <c r="A33" t="s">
        <v>346</v>
      </c>
      <c r="C33" t="s">
        <v>345</v>
      </c>
      <c r="D33" t="s">
        <v>19</v>
      </c>
      <c r="E33" t="s">
        <v>195</v>
      </c>
      <c r="F33" t="s">
        <v>52</v>
      </c>
      <c r="G33">
        <v>50.98</v>
      </c>
      <c r="H33" s="6">
        <v>13143343734</v>
      </c>
      <c r="I33">
        <v>94.06</v>
      </c>
      <c r="J33" s="6">
        <v>683094344</v>
      </c>
      <c r="K33" s="5">
        <v>0.37990000000000002</v>
      </c>
      <c r="L33">
        <v>35.1</v>
      </c>
    </row>
    <row r="34" spans="1:12">
      <c r="A34" t="s">
        <v>344</v>
      </c>
      <c r="C34" t="s">
        <v>343</v>
      </c>
      <c r="D34" t="s">
        <v>17</v>
      </c>
      <c r="E34" t="s">
        <v>70</v>
      </c>
      <c r="F34" t="s">
        <v>55</v>
      </c>
      <c r="G34">
        <v>156.9</v>
      </c>
      <c r="H34" s="6">
        <v>25633648320</v>
      </c>
      <c r="I34">
        <v>93.86</v>
      </c>
      <c r="J34" s="6">
        <v>485087000</v>
      </c>
      <c r="K34" s="5">
        <v>0.2366</v>
      </c>
      <c r="L34">
        <v>97.2</v>
      </c>
    </row>
    <row r="35" spans="1:12">
      <c r="A35" t="s">
        <v>342</v>
      </c>
      <c r="C35" t="s">
        <v>341</v>
      </c>
      <c r="D35" t="s">
        <v>17</v>
      </c>
      <c r="E35" t="s">
        <v>64</v>
      </c>
      <c r="F35" t="s">
        <v>55</v>
      </c>
      <c r="G35">
        <v>104.71</v>
      </c>
      <c r="H35" s="6">
        <v>11353840400</v>
      </c>
      <c r="I35">
        <v>93.82</v>
      </c>
      <c r="J35" s="6">
        <v>63255000</v>
      </c>
      <c r="K35" s="5">
        <v>0.19239999999999999</v>
      </c>
      <c r="L35">
        <v>234.7</v>
      </c>
    </row>
    <row r="36" spans="1:12">
      <c r="A36" t="s">
        <v>93</v>
      </c>
      <c r="C36" t="s">
        <v>340</v>
      </c>
      <c r="D36" t="s">
        <v>17</v>
      </c>
      <c r="E36" t="s">
        <v>92</v>
      </c>
      <c r="F36" t="s">
        <v>55</v>
      </c>
      <c r="G36">
        <v>336.64</v>
      </c>
      <c r="H36" s="6">
        <v>10379360200</v>
      </c>
      <c r="I36">
        <v>93.75</v>
      </c>
      <c r="J36" s="6">
        <v>63860000</v>
      </c>
      <c r="K36" s="5">
        <v>0.17349999999999999</v>
      </c>
      <c r="L36">
        <v>168.99</v>
      </c>
    </row>
    <row r="37" spans="1:12">
      <c r="A37" t="s">
        <v>339</v>
      </c>
      <c r="C37" t="s">
        <v>338</v>
      </c>
      <c r="D37" t="s">
        <v>61</v>
      </c>
      <c r="E37" t="s">
        <v>68</v>
      </c>
      <c r="F37" t="s">
        <v>55</v>
      </c>
      <c r="G37">
        <v>96.76</v>
      </c>
      <c r="H37" s="6">
        <v>913282439</v>
      </c>
      <c r="I37">
        <v>93.66</v>
      </c>
      <c r="J37" s="6">
        <v>6833750</v>
      </c>
      <c r="K37" s="5">
        <v>0.2054</v>
      </c>
      <c r="L37">
        <v>163.77000000000001</v>
      </c>
    </row>
    <row r="38" spans="1:12">
      <c r="A38" t="s">
        <v>337</v>
      </c>
      <c r="C38" t="s">
        <v>336</v>
      </c>
      <c r="D38" t="s">
        <v>53</v>
      </c>
      <c r="E38" t="s">
        <v>62</v>
      </c>
      <c r="F38" t="s">
        <v>52</v>
      </c>
      <c r="G38">
        <v>57.49</v>
      </c>
      <c r="H38" s="6">
        <v>13681883296</v>
      </c>
      <c r="I38">
        <v>93.56</v>
      </c>
      <c r="J38" s="6">
        <v>1311571000000</v>
      </c>
      <c r="K38" s="5">
        <v>0.2722</v>
      </c>
      <c r="L38">
        <v>0.01</v>
      </c>
    </row>
    <row r="39" spans="1:12">
      <c r="A39" t="s">
        <v>335</v>
      </c>
      <c r="C39" t="s">
        <v>334</v>
      </c>
      <c r="D39" t="s">
        <v>61</v>
      </c>
      <c r="E39" t="s">
        <v>67</v>
      </c>
      <c r="F39" t="s">
        <v>55</v>
      </c>
      <c r="G39">
        <v>34.51</v>
      </c>
      <c r="H39" s="6">
        <v>2452583584</v>
      </c>
      <c r="I39">
        <v>93.53</v>
      </c>
      <c r="J39" s="6">
        <v>24931000</v>
      </c>
      <c r="K39" s="5">
        <v>0.20930000000000001</v>
      </c>
      <c r="L39">
        <v>95.41</v>
      </c>
    </row>
    <row r="40" spans="1:12">
      <c r="A40" t="s">
        <v>109</v>
      </c>
      <c r="C40" t="s">
        <v>333</v>
      </c>
      <c r="D40" t="s">
        <v>17</v>
      </c>
      <c r="E40" t="s">
        <v>108</v>
      </c>
      <c r="F40" t="s">
        <v>52</v>
      </c>
      <c r="G40">
        <v>192.73</v>
      </c>
      <c r="H40" s="6">
        <v>16750460000</v>
      </c>
      <c r="I40">
        <v>93.49</v>
      </c>
      <c r="J40" s="6">
        <v>172239000</v>
      </c>
      <c r="K40" s="5">
        <v>0.20549999999999999</v>
      </c>
      <c r="L40">
        <v>74</v>
      </c>
    </row>
    <row r="41" spans="1:12">
      <c r="A41" t="s">
        <v>332</v>
      </c>
      <c r="C41" t="s">
        <v>331</v>
      </c>
      <c r="D41" t="s">
        <v>19</v>
      </c>
      <c r="E41" t="s">
        <v>330</v>
      </c>
      <c r="F41" t="s">
        <v>55</v>
      </c>
      <c r="G41">
        <v>57.89</v>
      </c>
      <c r="H41" s="6">
        <v>1863510682</v>
      </c>
      <c r="I41">
        <v>93.46</v>
      </c>
      <c r="J41" s="6">
        <v>9400000</v>
      </c>
      <c r="K41" s="5">
        <v>0.19839999999999999</v>
      </c>
      <c r="L41">
        <v>1243.17</v>
      </c>
    </row>
    <row r="42" spans="1:12">
      <c r="A42" t="s">
        <v>329</v>
      </c>
      <c r="C42" t="s">
        <v>328</v>
      </c>
      <c r="D42" t="s">
        <v>53</v>
      </c>
      <c r="E42" t="s">
        <v>204</v>
      </c>
      <c r="F42" t="s">
        <v>52</v>
      </c>
      <c r="G42">
        <v>89.14</v>
      </c>
      <c r="H42" s="6">
        <v>124086573708</v>
      </c>
      <c r="I42">
        <v>93.43</v>
      </c>
      <c r="J42" s="6">
        <v>4241000000</v>
      </c>
      <c r="K42" s="5">
        <v>0.35680000000000001</v>
      </c>
      <c r="L42">
        <v>37.200000000000003</v>
      </c>
    </row>
    <row r="43" spans="1:12">
      <c r="A43" t="s">
        <v>327</v>
      </c>
      <c r="C43" t="s">
        <v>326</v>
      </c>
      <c r="D43" t="s">
        <v>25</v>
      </c>
      <c r="E43" t="s">
        <v>262</v>
      </c>
      <c r="F43" t="s">
        <v>52</v>
      </c>
      <c r="G43">
        <v>49.44</v>
      </c>
      <c r="H43" s="6">
        <v>6843765080</v>
      </c>
      <c r="I43">
        <v>93.42</v>
      </c>
      <c r="J43" s="6">
        <v>42476000</v>
      </c>
      <c r="K43" s="5">
        <v>0.1789</v>
      </c>
      <c r="L43">
        <v>122.37</v>
      </c>
    </row>
    <row r="44" spans="1:12">
      <c r="A44" t="s">
        <v>325</v>
      </c>
      <c r="C44" t="s">
        <v>324</v>
      </c>
      <c r="D44" t="s">
        <v>19</v>
      </c>
      <c r="E44" t="s">
        <v>100</v>
      </c>
      <c r="F44" t="s">
        <v>52</v>
      </c>
      <c r="G44">
        <v>36.14</v>
      </c>
      <c r="H44" s="6">
        <v>942321541</v>
      </c>
      <c r="I44">
        <v>93.35</v>
      </c>
      <c r="J44" s="6">
        <v>34729087</v>
      </c>
      <c r="K44" s="5">
        <v>0.3251</v>
      </c>
      <c r="L44">
        <v>39.18</v>
      </c>
    </row>
    <row r="45" spans="1:12">
      <c r="A45" t="s">
        <v>323</v>
      </c>
      <c r="C45" t="s">
        <v>106</v>
      </c>
      <c r="D45" t="s">
        <v>19</v>
      </c>
      <c r="E45" t="s">
        <v>63</v>
      </c>
      <c r="F45" t="s">
        <v>52</v>
      </c>
      <c r="G45">
        <v>65.680000000000007</v>
      </c>
      <c r="H45" s="6">
        <v>44362260150</v>
      </c>
      <c r="I45">
        <v>93.32</v>
      </c>
      <c r="J45" s="6">
        <v>191720498</v>
      </c>
      <c r="K45" s="5">
        <v>0.1507</v>
      </c>
      <c r="L45">
        <v>379.15</v>
      </c>
    </row>
    <row r="46" spans="1:12">
      <c r="A46" t="s">
        <v>322</v>
      </c>
      <c r="C46" t="s">
        <v>321</v>
      </c>
      <c r="D46" t="s">
        <v>53</v>
      </c>
      <c r="E46" t="s">
        <v>62</v>
      </c>
      <c r="F46" t="s">
        <v>52</v>
      </c>
      <c r="G46">
        <v>37.700000000000003</v>
      </c>
      <c r="H46" s="6">
        <v>15304087772</v>
      </c>
      <c r="I46">
        <v>93.1</v>
      </c>
      <c r="J46" s="6">
        <v>144255000000</v>
      </c>
      <c r="K46" s="5">
        <v>0.15340000000000001</v>
      </c>
      <c r="L46">
        <v>0.05</v>
      </c>
    </row>
    <row r="47" spans="1:12">
      <c r="A47" t="s">
        <v>80</v>
      </c>
      <c r="C47" t="s">
        <v>79</v>
      </c>
      <c r="D47" t="s">
        <v>17</v>
      </c>
      <c r="E47" t="s">
        <v>78</v>
      </c>
      <c r="F47" t="s">
        <v>52</v>
      </c>
      <c r="G47">
        <v>583.85</v>
      </c>
      <c r="H47" s="6">
        <v>39945050295</v>
      </c>
      <c r="I47">
        <v>93.05</v>
      </c>
      <c r="J47" s="6">
        <v>261722000</v>
      </c>
      <c r="K47" s="5">
        <v>0.15010000000000001</v>
      </c>
      <c r="L47">
        <v>192.16</v>
      </c>
    </row>
    <row r="48" spans="1:12">
      <c r="A48" t="s">
        <v>320</v>
      </c>
      <c r="C48" t="s">
        <v>319</v>
      </c>
      <c r="D48" t="s">
        <v>19</v>
      </c>
      <c r="E48" t="s">
        <v>100</v>
      </c>
      <c r="F48" t="s">
        <v>52</v>
      </c>
      <c r="G48">
        <v>35.94</v>
      </c>
      <c r="H48" s="6">
        <v>1097745580</v>
      </c>
      <c r="I48">
        <v>92.89</v>
      </c>
      <c r="J48" s="6">
        <v>99217000</v>
      </c>
      <c r="K48" s="5">
        <v>0.20569999999999999</v>
      </c>
      <c r="L48">
        <v>11.55</v>
      </c>
    </row>
    <row r="49" spans="1:12">
      <c r="A49" t="s">
        <v>318</v>
      </c>
      <c r="C49" t="s">
        <v>317</v>
      </c>
      <c r="D49" t="s">
        <v>19</v>
      </c>
      <c r="E49" t="s">
        <v>87</v>
      </c>
      <c r="F49" t="s">
        <v>52</v>
      </c>
      <c r="G49">
        <v>99.42</v>
      </c>
      <c r="H49" s="6">
        <v>6638923000</v>
      </c>
      <c r="I49">
        <v>92.82</v>
      </c>
      <c r="J49" s="6">
        <v>162400000</v>
      </c>
      <c r="K49" s="5">
        <v>0.1593</v>
      </c>
      <c r="L49">
        <v>73.44</v>
      </c>
    </row>
    <row r="50" spans="1:12">
      <c r="A50" t="s">
        <v>91</v>
      </c>
      <c r="C50" t="s">
        <v>316</v>
      </c>
      <c r="D50" t="s">
        <v>17</v>
      </c>
      <c r="E50" t="s">
        <v>64</v>
      </c>
      <c r="F50" t="s">
        <v>55</v>
      </c>
      <c r="G50">
        <v>962.95</v>
      </c>
      <c r="H50" s="6">
        <v>44229386880</v>
      </c>
      <c r="I50">
        <v>92.75</v>
      </c>
      <c r="J50" s="6">
        <v>195183000</v>
      </c>
      <c r="K50" s="5">
        <v>0.22259999999999999</v>
      </c>
      <c r="L50">
        <v>248.1</v>
      </c>
    </row>
    <row r="51" spans="1:12">
      <c r="A51" t="s">
        <v>315</v>
      </c>
      <c r="C51" t="s">
        <v>314</v>
      </c>
      <c r="D51" t="s">
        <v>17</v>
      </c>
      <c r="E51" t="s">
        <v>92</v>
      </c>
      <c r="F51" t="s">
        <v>55</v>
      </c>
      <c r="G51">
        <v>119.2</v>
      </c>
      <c r="H51" s="6">
        <v>4171091120</v>
      </c>
      <c r="I51">
        <v>92.35</v>
      </c>
      <c r="J51" s="6">
        <v>31974000</v>
      </c>
      <c r="K51" s="5">
        <v>0.1676</v>
      </c>
      <c r="L51">
        <v>123.79</v>
      </c>
    </row>
    <row r="52" spans="1:12">
      <c r="A52" t="s">
        <v>313</v>
      </c>
      <c r="C52" t="s">
        <v>312</v>
      </c>
      <c r="D52" t="s">
        <v>14</v>
      </c>
      <c r="E52" t="s">
        <v>75</v>
      </c>
      <c r="F52" t="s">
        <v>52</v>
      </c>
      <c r="G52">
        <v>32.5</v>
      </c>
      <c r="H52" s="6">
        <v>1348582032</v>
      </c>
      <c r="I52">
        <v>92.25</v>
      </c>
      <c r="J52" s="6">
        <v>51113000</v>
      </c>
      <c r="K52" s="5">
        <v>0.33829999999999999</v>
      </c>
      <c r="L52">
        <v>30.34</v>
      </c>
    </row>
    <row r="53" spans="1:12">
      <c r="A53" t="s">
        <v>311</v>
      </c>
      <c r="C53" t="s">
        <v>310</v>
      </c>
      <c r="D53" t="s">
        <v>71</v>
      </c>
      <c r="E53" t="s">
        <v>114</v>
      </c>
      <c r="F53" t="s">
        <v>52</v>
      </c>
      <c r="G53">
        <v>62.9</v>
      </c>
      <c r="H53" s="6">
        <v>12277306499</v>
      </c>
      <c r="I53">
        <v>92.2</v>
      </c>
      <c r="J53" s="6">
        <v>289310000</v>
      </c>
      <c r="K53" s="5">
        <v>0.1653</v>
      </c>
      <c r="L53">
        <v>68.81</v>
      </c>
    </row>
    <row r="54" spans="1:12">
      <c r="A54" t="s">
        <v>309</v>
      </c>
      <c r="C54" t="s">
        <v>308</v>
      </c>
      <c r="D54" t="s">
        <v>17</v>
      </c>
      <c r="E54" t="s">
        <v>70</v>
      </c>
      <c r="F54" t="s">
        <v>52</v>
      </c>
      <c r="G54">
        <v>40.11</v>
      </c>
      <c r="H54" s="6">
        <v>1067982909</v>
      </c>
      <c r="I54">
        <v>92.17</v>
      </c>
      <c r="J54" s="6">
        <v>40520000</v>
      </c>
      <c r="K54" s="5">
        <v>0.41</v>
      </c>
      <c r="L54">
        <v>28.73</v>
      </c>
    </row>
    <row r="55" spans="1:12">
      <c r="A55" t="s">
        <v>120</v>
      </c>
      <c r="C55" t="s">
        <v>119</v>
      </c>
      <c r="D55" t="s">
        <v>61</v>
      </c>
      <c r="E55" t="s">
        <v>67</v>
      </c>
      <c r="F55" t="s">
        <v>55</v>
      </c>
      <c r="G55">
        <v>415.21</v>
      </c>
      <c r="H55" s="6">
        <v>62630688000</v>
      </c>
      <c r="I55">
        <v>92.12</v>
      </c>
      <c r="J55" s="6">
        <v>367982000</v>
      </c>
      <c r="K55" s="5">
        <v>0.3861</v>
      </c>
      <c r="L55">
        <v>249.44</v>
      </c>
    </row>
    <row r="56" spans="1:12">
      <c r="A56" t="s">
        <v>307</v>
      </c>
      <c r="C56" t="s">
        <v>306</v>
      </c>
      <c r="D56" t="s">
        <v>60</v>
      </c>
      <c r="E56" t="s">
        <v>305</v>
      </c>
      <c r="F56" t="s">
        <v>52</v>
      </c>
      <c r="G56">
        <v>56.64</v>
      </c>
      <c r="H56" s="6">
        <v>2330348952</v>
      </c>
      <c r="I56">
        <v>92.03</v>
      </c>
      <c r="J56" s="6">
        <v>10481000</v>
      </c>
      <c r="K56" s="5">
        <v>0.20250000000000001</v>
      </c>
      <c r="L56">
        <v>222.34</v>
      </c>
    </row>
    <row r="57" spans="1:12">
      <c r="A57" t="s">
        <v>304</v>
      </c>
      <c r="C57" t="s">
        <v>303</v>
      </c>
      <c r="D57" t="s">
        <v>53</v>
      </c>
      <c r="E57" t="s">
        <v>62</v>
      </c>
      <c r="F57" t="s">
        <v>55</v>
      </c>
      <c r="G57">
        <v>52.87</v>
      </c>
      <c r="H57" s="6">
        <v>205436139</v>
      </c>
      <c r="I57">
        <v>91.83</v>
      </c>
      <c r="J57" s="6">
        <v>6658000</v>
      </c>
      <c r="K57" s="5">
        <v>0.2117</v>
      </c>
      <c r="L57">
        <v>38.369999999999997</v>
      </c>
    </row>
    <row r="58" spans="1:12">
      <c r="A58" t="s">
        <v>302</v>
      </c>
      <c r="C58" t="s">
        <v>301</v>
      </c>
      <c r="D58" t="s">
        <v>61</v>
      </c>
      <c r="E58" t="s">
        <v>67</v>
      </c>
      <c r="F58" t="s">
        <v>55</v>
      </c>
      <c r="G58">
        <v>108.24</v>
      </c>
      <c r="H58" s="6">
        <v>72042150000</v>
      </c>
      <c r="I58">
        <v>91.75</v>
      </c>
      <c r="J58" s="6">
        <v>2264000000</v>
      </c>
      <c r="K58" s="5">
        <v>0.18190000000000001</v>
      </c>
      <c r="L58">
        <v>42.6</v>
      </c>
    </row>
    <row r="59" spans="1:12">
      <c r="A59" t="s">
        <v>118</v>
      </c>
      <c r="C59" t="s">
        <v>117</v>
      </c>
      <c r="D59" t="s">
        <v>19</v>
      </c>
      <c r="E59" t="s">
        <v>86</v>
      </c>
      <c r="F59" t="s">
        <v>55</v>
      </c>
      <c r="G59">
        <v>453.95</v>
      </c>
      <c r="H59" s="6">
        <v>8025689227</v>
      </c>
      <c r="I59">
        <v>91.65</v>
      </c>
      <c r="J59" s="6">
        <v>104300000</v>
      </c>
      <c r="K59" s="5">
        <v>0.1588</v>
      </c>
      <c r="L59">
        <v>26.48</v>
      </c>
    </row>
    <row r="60" spans="1:12">
      <c r="A60" t="s">
        <v>300</v>
      </c>
      <c r="C60" t="s">
        <v>299</v>
      </c>
      <c r="D60" t="s">
        <v>19</v>
      </c>
      <c r="E60" t="s">
        <v>86</v>
      </c>
      <c r="F60" t="s">
        <v>52</v>
      </c>
      <c r="G60">
        <v>131.96</v>
      </c>
      <c r="H60" s="6">
        <v>7526095990</v>
      </c>
      <c r="I60">
        <v>91.39</v>
      </c>
      <c r="J60" s="6">
        <v>138020000</v>
      </c>
      <c r="K60" s="5">
        <v>0.221</v>
      </c>
      <c r="L60">
        <v>79.540000000000006</v>
      </c>
    </row>
    <row r="61" spans="1:12">
      <c r="A61" t="s">
        <v>298</v>
      </c>
      <c r="C61" t="s">
        <v>297</v>
      </c>
      <c r="D61" t="s">
        <v>60</v>
      </c>
      <c r="E61" t="s">
        <v>265</v>
      </c>
      <c r="F61" t="s">
        <v>55</v>
      </c>
      <c r="G61">
        <v>41.38</v>
      </c>
      <c r="H61" s="6">
        <v>5265846573</v>
      </c>
      <c r="I61">
        <v>91.35</v>
      </c>
      <c r="J61" s="6">
        <v>639715033</v>
      </c>
      <c r="K61" s="5">
        <v>0.50670000000000004</v>
      </c>
      <c r="L61">
        <v>11.1</v>
      </c>
    </row>
    <row r="62" spans="1:12">
      <c r="A62" t="s">
        <v>296</v>
      </c>
      <c r="C62" t="s">
        <v>295</v>
      </c>
      <c r="D62" t="s">
        <v>61</v>
      </c>
      <c r="E62" t="s">
        <v>94</v>
      </c>
      <c r="F62" t="s">
        <v>55</v>
      </c>
      <c r="G62">
        <v>544.08000000000004</v>
      </c>
      <c r="H62" s="6">
        <v>15275693600</v>
      </c>
      <c r="I62">
        <v>91.24</v>
      </c>
      <c r="J62" s="6">
        <v>141808000</v>
      </c>
      <c r="K62" s="5">
        <v>0.2268</v>
      </c>
      <c r="L62">
        <v>137.44999999999999</v>
      </c>
    </row>
    <row r="63" spans="1:12">
      <c r="A63" t="s">
        <v>294</v>
      </c>
      <c r="C63" t="s">
        <v>293</v>
      </c>
      <c r="D63" t="s">
        <v>61</v>
      </c>
      <c r="E63" t="s">
        <v>67</v>
      </c>
      <c r="F63" t="s">
        <v>55</v>
      </c>
      <c r="G63">
        <v>318.69</v>
      </c>
      <c r="H63" s="6">
        <v>39016711201</v>
      </c>
      <c r="I63">
        <v>91.04</v>
      </c>
      <c r="J63" s="6">
        <v>163114000</v>
      </c>
      <c r="K63" s="5">
        <v>0.47960000000000003</v>
      </c>
      <c r="L63">
        <v>312.52999999999997</v>
      </c>
    </row>
    <row r="64" spans="1:12">
      <c r="A64" t="s">
        <v>292</v>
      </c>
      <c r="C64" t="s">
        <v>291</v>
      </c>
      <c r="D64" t="s">
        <v>61</v>
      </c>
      <c r="E64" t="s">
        <v>98</v>
      </c>
      <c r="F64" t="s">
        <v>55</v>
      </c>
      <c r="G64">
        <v>47.03</v>
      </c>
      <c r="H64" s="6">
        <v>1380001751</v>
      </c>
      <c r="I64">
        <v>90.94</v>
      </c>
      <c r="J64" s="6">
        <v>63620000</v>
      </c>
      <c r="K64" s="5">
        <v>0.31630000000000003</v>
      </c>
      <c r="L64">
        <v>43.8</v>
      </c>
    </row>
    <row r="65" spans="1:12">
      <c r="A65" t="s">
        <v>290</v>
      </c>
      <c r="C65" t="s">
        <v>289</v>
      </c>
      <c r="D65" t="s">
        <v>17</v>
      </c>
      <c r="E65" t="s">
        <v>70</v>
      </c>
      <c r="F65" t="s">
        <v>55</v>
      </c>
      <c r="G65">
        <v>45.34</v>
      </c>
      <c r="H65" s="6">
        <v>1830676248</v>
      </c>
      <c r="I65">
        <v>90.84</v>
      </c>
      <c r="J65" s="6">
        <v>8737405</v>
      </c>
      <c r="K65" s="5">
        <v>0.38140000000000002</v>
      </c>
      <c r="L65">
        <v>510.15</v>
      </c>
    </row>
    <row r="66" spans="1:12">
      <c r="A66" t="s">
        <v>288</v>
      </c>
      <c r="C66" t="s">
        <v>287</v>
      </c>
      <c r="D66" t="s">
        <v>19</v>
      </c>
      <c r="E66" t="s">
        <v>86</v>
      </c>
      <c r="F66" t="s">
        <v>52</v>
      </c>
      <c r="G66">
        <v>220.38</v>
      </c>
      <c r="H66" s="6">
        <v>16737080880</v>
      </c>
      <c r="I66">
        <v>90.73</v>
      </c>
      <c r="J66" s="6">
        <v>356700000</v>
      </c>
      <c r="K66" s="5">
        <v>0.15659999999999999</v>
      </c>
      <c r="L66">
        <v>104.18</v>
      </c>
    </row>
    <row r="67" spans="1:12">
      <c r="A67" t="s">
        <v>286</v>
      </c>
      <c r="C67" t="s">
        <v>285</v>
      </c>
      <c r="D67" t="s">
        <v>53</v>
      </c>
      <c r="E67" t="s">
        <v>204</v>
      </c>
      <c r="F67" t="s">
        <v>52</v>
      </c>
      <c r="G67">
        <v>109.43</v>
      </c>
      <c r="H67" s="6">
        <v>187944103111</v>
      </c>
      <c r="I67">
        <v>90.67</v>
      </c>
      <c r="J67" s="6">
        <v>5350000000</v>
      </c>
      <c r="K67" s="5">
        <v>0.28810000000000002</v>
      </c>
      <c r="L67">
        <v>50.09</v>
      </c>
    </row>
    <row r="68" spans="1:12">
      <c r="A68" t="s">
        <v>284</v>
      </c>
      <c r="C68" t="s">
        <v>283</v>
      </c>
      <c r="D68" t="s">
        <v>17</v>
      </c>
      <c r="E68" t="s">
        <v>70</v>
      </c>
      <c r="F68" t="s">
        <v>52</v>
      </c>
      <c r="G68">
        <v>46.57</v>
      </c>
      <c r="H68" s="6">
        <v>4376856674</v>
      </c>
      <c r="I68">
        <v>90.64</v>
      </c>
      <c r="J68" s="6">
        <v>16870000</v>
      </c>
      <c r="K68" s="5">
        <v>0.17680000000000001</v>
      </c>
      <c r="L68">
        <v>1195.8599999999999</v>
      </c>
    </row>
    <row r="69" spans="1:12">
      <c r="A69" t="s">
        <v>282</v>
      </c>
      <c r="C69" t="s">
        <v>281</v>
      </c>
      <c r="D69" t="s">
        <v>60</v>
      </c>
      <c r="E69" t="s">
        <v>280</v>
      </c>
      <c r="F69" t="s">
        <v>52</v>
      </c>
      <c r="G69">
        <v>53.12</v>
      </c>
      <c r="H69" s="6">
        <v>4644661709</v>
      </c>
      <c r="I69">
        <v>90.63</v>
      </c>
      <c r="J69" s="6">
        <v>168988000</v>
      </c>
      <c r="K69" s="5">
        <v>0.48780000000000001</v>
      </c>
      <c r="L69">
        <v>46.92</v>
      </c>
    </row>
    <row r="70" spans="1:12">
      <c r="A70" t="s">
        <v>279</v>
      </c>
      <c r="C70" t="s">
        <v>278</v>
      </c>
      <c r="D70" t="s">
        <v>17</v>
      </c>
      <c r="E70" t="s">
        <v>57</v>
      </c>
      <c r="F70" t="s">
        <v>55</v>
      </c>
      <c r="G70">
        <v>57.49</v>
      </c>
      <c r="H70" s="6">
        <v>3373177260</v>
      </c>
      <c r="I70">
        <v>90.6</v>
      </c>
      <c r="J70" s="6">
        <v>20918000</v>
      </c>
      <c r="K70" s="5">
        <v>0.15409999999999999</v>
      </c>
      <c r="L70">
        <v>-9092.1200000000008</v>
      </c>
    </row>
    <row r="71" spans="1:12">
      <c r="A71" t="s">
        <v>277</v>
      </c>
      <c r="C71" t="s">
        <v>276</v>
      </c>
      <c r="D71" t="s">
        <v>60</v>
      </c>
      <c r="E71" t="s">
        <v>113</v>
      </c>
      <c r="F71" t="s">
        <v>52</v>
      </c>
      <c r="G71">
        <v>38.68</v>
      </c>
      <c r="H71" s="6">
        <v>19582755174</v>
      </c>
      <c r="I71">
        <v>90.58</v>
      </c>
      <c r="J71" s="6">
        <v>215900000</v>
      </c>
      <c r="K71" s="5">
        <v>0.19120000000000001</v>
      </c>
      <c r="L71">
        <v>136.85</v>
      </c>
    </row>
    <row r="72" spans="1:12">
      <c r="A72" t="s">
        <v>275</v>
      </c>
      <c r="C72" t="s">
        <v>274</v>
      </c>
      <c r="D72" t="s">
        <v>19</v>
      </c>
      <c r="E72" t="s">
        <v>273</v>
      </c>
      <c r="F72" t="s">
        <v>55</v>
      </c>
      <c r="G72">
        <v>45.51</v>
      </c>
      <c r="H72" s="6">
        <v>904352490</v>
      </c>
      <c r="I72">
        <v>90.56</v>
      </c>
      <c r="J72" s="6">
        <v>13881000</v>
      </c>
      <c r="K72" s="5">
        <v>0.1686</v>
      </c>
      <c r="L72">
        <v>104.65</v>
      </c>
    </row>
    <row r="73" spans="1:12">
      <c r="A73" t="s">
        <v>28</v>
      </c>
      <c r="C73" t="s">
        <v>128</v>
      </c>
      <c r="D73" t="s">
        <v>19</v>
      </c>
      <c r="E73" t="s">
        <v>87</v>
      </c>
      <c r="F73" t="s">
        <v>52</v>
      </c>
      <c r="G73">
        <v>300.48</v>
      </c>
      <c r="H73" s="6">
        <v>12365284045</v>
      </c>
      <c r="I73">
        <v>90.48</v>
      </c>
      <c r="J73" s="6">
        <v>153300000</v>
      </c>
      <c r="K73" s="5">
        <v>0.1615</v>
      </c>
      <c r="L73">
        <v>100.94</v>
      </c>
    </row>
    <row r="74" spans="1:12">
      <c r="A74" t="s">
        <v>272</v>
      </c>
      <c r="C74" t="s">
        <v>271</v>
      </c>
      <c r="D74" t="s">
        <v>83</v>
      </c>
      <c r="E74" t="s">
        <v>97</v>
      </c>
      <c r="F74" t="s">
        <v>52</v>
      </c>
      <c r="G74">
        <v>236.11</v>
      </c>
      <c r="H74" s="6">
        <v>46625368792</v>
      </c>
      <c r="I74">
        <v>90.4</v>
      </c>
      <c r="J74" s="6">
        <v>138542000</v>
      </c>
      <c r="K74" s="5">
        <v>0.38929999999999998</v>
      </c>
      <c r="L74">
        <v>286.64</v>
      </c>
    </row>
    <row r="75" spans="1:12">
      <c r="A75" t="s">
        <v>270</v>
      </c>
      <c r="C75" t="s">
        <v>269</v>
      </c>
      <c r="D75" t="s">
        <v>14</v>
      </c>
      <c r="E75" t="s">
        <v>268</v>
      </c>
      <c r="F75" t="s">
        <v>52</v>
      </c>
      <c r="G75">
        <v>93.36</v>
      </c>
      <c r="H75" s="6">
        <v>36511805400</v>
      </c>
      <c r="I75">
        <v>90.19</v>
      </c>
      <c r="J75" s="6">
        <v>93040000</v>
      </c>
      <c r="K75" s="5">
        <v>0.2858</v>
      </c>
      <c r="L75">
        <v>-258948.97</v>
      </c>
    </row>
    <row r="76" spans="1:12">
      <c r="A76" t="s">
        <v>267</v>
      </c>
      <c r="C76" t="s">
        <v>266</v>
      </c>
      <c r="D76" t="s">
        <v>60</v>
      </c>
      <c r="E76" t="s">
        <v>265</v>
      </c>
      <c r="F76" t="s">
        <v>55</v>
      </c>
      <c r="G76">
        <v>47.48</v>
      </c>
      <c r="H76" s="6">
        <v>12709551161</v>
      </c>
      <c r="I76">
        <v>89.92</v>
      </c>
      <c r="J76" s="6">
        <v>2048000000</v>
      </c>
      <c r="K76" s="5">
        <v>0.23169999999999999</v>
      </c>
      <c r="L76">
        <v>8.65</v>
      </c>
    </row>
    <row r="77" spans="1:12">
      <c r="A77" t="s">
        <v>82</v>
      </c>
      <c r="C77" t="s">
        <v>81</v>
      </c>
      <c r="D77" t="s">
        <v>17</v>
      </c>
      <c r="E77" t="s">
        <v>64</v>
      </c>
      <c r="F77" t="s">
        <v>52</v>
      </c>
      <c r="G77">
        <v>303.41000000000003</v>
      </c>
      <c r="H77" s="6">
        <v>1448397940000</v>
      </c>
      <c r="I77">
        <v>89.78</v>
      </c>
      <c r="J77" s="6">
        <v>500685000000</v>
      </c>
      <c r="K77" s="5">
        <v>0.22170000000000001</v>
      </c>
      <c r="L77">
        <v>3.2</v>
      </c>
    </row>
    <row r="78" spans="1:12">
      <c r="A78" t="s">
        <v>264</v>
      </c>
      <c r="C78" t="s">
        <v>263</v>
      </c>
      <c r="D78" t="s">
        <v>25</v>
      </c>
      <c r="E78" t="s">
        <v>262</v>
      </c>
      <c r="F78" t="s">
        <v>52</v>
      </c>
      <c r="G78">
        <v>195.8</v>
      </c>
      <c r="H78" s="6">
        <v>121625905057</v>
      </c>
      <c r="I78">
        <v>89.69</v>
      </c>
      <c r="J78" s="6">
        <v>282186000</v>
      </c>
      <c r="K78" s="5">
        <v>0.18590000000000001</v>
      </c>
      <c r="L78">
        <v>437.25</v>
      </c>
    </row>
    <row r="79" spans="1:12">
      <c r="A79" t="s">
        <v>261</v>
      </c>
      <c r="C79" t="s">
        <v>260</v>
      </c>
      <c r="D79" t="s">
        <v>53</v>
      </c>
      <c r="E79" t="s">
        <v>123</v>
      </c>
      <c r="F79" t="s">
        <v>52</v>
      </c>
      <c r="G79">
        <v>173.66</v>
      </c>
      <c r="H79" s="6">
        <v>2472634190</v>
      </c>
      <c r="I79">
        <v>89.67</v>
      </c>
      <c r="J79" s="6">
        <v>90599000</v>
      </c>
      <c r="K79" s="5">
        <v>0.23019999999999999</v>
      </c>
      <c r="L79">
        <v>37.75</v>
      </c>
    </row>
    <row r="80" spans="1:12">
      <c r="A80" t="s">
        <v>259</v>
      </c>
      <c r="C80" t="s">
        <v>258</v>
      </c>
      <c r="D80" t="s">
        <v>53</v>
      </c>
      <c r="E80" t="s">
        <v>62</v>
      </c>
      <c r="F80" t="s">
        <v>55</v>
      </c>
      <c r="G80">
        <v>115.12</v>
      </c>
      <c r="H80" s="6">
        <v>1670685650</v>
      </c>
      <c r="I80">
        <v>89.52</v>
      </c>
      <c r="J80" s="6">
        <v>17908000</v>
      </c>
      <c r="K80" s="5">
        <v>0.76170000000000004</v>
      </c>
      <c r="L80">
        <v>122.92</v>
      </c>
    </row>
    <row r="81" spans="1:12">
      <c r="A81" t="s">
        <v>257</v>
      </c>
      <c r="C81" t="s">
        <v>256</v>
      </c>
      <c r="D81" t="s">
        <v>19</v>
      </c>
      <c r="E81" t="s">
        <v>255</v>
      </c>
      <c r="F81" t="s">
        <v>55</v>
      </c>
      <c r="G81">
        <v>102.28</v>
      </c>
      <c r="H81" s="6">
        <v>5013927259</v>
      </c>
      <c r="I81">
        <v>89.48</v>
      </c>
      <c r="J81" s="6">
        <v>2403168000</v>
      </c>
      <c r="K81" s="5">
        <v>0.2001</v>
      </c>
      <c r="L81">
        <v>3.33</v>
      </c>
    </row>
    <row r="82" spans="1:12">
      <c r="A82" t="s">
        <v>254</v>
      </c>
      <c r="C82" t="s">
        <v>253</v>
      </c>
      <c r="D82" t="s">
        <v>53</v>
      </c>
      <c r="E82" t="s">
        <v>74</v>
      </c>
      <c r="F82" t="s">
        <v>55</v>
      </c>
      <c r="G82">
        <v>156.19999999999999</v>
      </c>
      <c r="H82" s="6">
        <v>7105496637</v>
      </c>
      <c r="I82">
        <v>89.46</v>
      </c>
      <c r="J82" s="6">
        <v>149300000</v>
      </c>
      <c r="K82" s="5">
        <v>0.25879999999999997</v>
      </c>
      <c r="L82">
        <v>85.81</v>
      </c>
    </row>
    <row r="83" spans="1:12">
      <c r="A83" t="s">
        <v>252</v>
      </c>
      <c r="C83" t="s">
        <v>251</v>
      </c>
      <c r="D83" t="s">
        <v>53</v>
      </c>
      <c r="E83" t="s">
        <v>54</v>
      </c>
      <c r="F83" t="s">
        <v>52</v>
      </c>
      <c r="G83">
        <v>876.58</v>
      </c>
      <c r="H83" s="6">
        <v>250850250000</v>
      </c>
      <c r="I83">
        <v>89.45</v>
      </c>
      <c r="J83" s="6">
        <v>5392000000</v>
      </c>
      <c r="K83" s="5">
        <v>0.24970000000000001</v>
      </c>
      <c r="L83">
        <v>61.21</v>
      </c>
    </row>
    <row r="84" spans="1:12">
      <c r="A84" t="s">
        <v>250</v>
      </c>
      <c r="C84" t="s">
        <v>249</v>
      </c>
      <c r="D84" t="s">
        <v>61</v>
      </c>
      <c r="E84" t="s">
        <v>67</v>
      </c>
      <c r="F84" t="s">
        <v>55</v>
      </c>
      <c r="G84">
        <v>196.63</v>
      </c>
      <c r="H84" s="6">
        <v>12125223090</v>
      </c>
      <c r="I84">
        <v>89.35</v>
      </c>
      <c r="J84" s="6">
        <v>10997000</v>
      </c>
      <c r="K84" s="5">
        <v>2.6025</v>
      </c>
      <c r="L84">
        <v>-198.81</v>
      </c>
    </row>
    <row r="85" spans="1:12">
      <c r="A85" t="s">
        <v>248</v>
      </c>
      <c r="C85" t="s">
        <v>247</v>
      </c>
      <c r="D85" t="s">
        <v>53</v>
      </c>
      <c r="E85" t="s">
        <v>62</v>
      </c>
      <c r="F85" t="s">
        <v>55</v>
      </c>
      <c r="G85">
        <v>47.82</v>
      </c>
      <c r="H85" s="6">
        <v>345578922</v>
      </c>
      <c r="I85">
        <v>89.2</v>
      </c>
      <c r="J85" s="6">
        <v>13479000</v>
      </c>
      <c r="K85" s="5">
        <v>0.31009999999999999</v>
      </c>
      <c r="L85">
        <v>34.29</v>
      </c>
    </row>
    <row r="86" spans="1:12">
      <c r="A86" t="s">
        <v>77</v>
      </c>
      <c r="C86" t="s">
        <v>76</v>
      </c>
      <c r="D86" t="s">
        <v>53</v>
      </c>
      <c r="E86" t="s">
        <v>62</v>
      </c>
      <c r="F86" t="s">
        <v>52</v>
      </c>
      <c r="G86">
        <v>86.5</v>
      </c>
      <c r="H86" s="6">
        <v>30408486150</v>
      </c>
      <c r="I86">
        <v>89.08</v>
      </c>
      <c r="J86" s="6">
        <v>2419957000000</v>
      </c>
      <c r="K86" s="5">
        <v>0.21659999999999999</v>
      </c>
      <c r="L86">
        <v>0.02</v>
      </c>
    </row>
    <row r="87" spans="1:12">
      <c r="A87" t="s">
        <v>246</v>
      </c>
      <c r="C87" t="s">
        <v>245</v>
      </c>
      <c r="D87" t="s">
        <v>60</v>
      </c>
      <c r="E87" t="s">
        <v>121</v>
      </c>
      <c r="F87" t="s">
        <v>52</v>
      </c>
      <c r="G87">
        <v>67.77</v>
      </c>
      <c r="H87" s="6">
        <v>27562838948</v>
      </c>
      <c r="I87">
        <v>88.92</v>
      </c>
      <c r="J87" s="6">
        <v>604712000</v>
      </c>
      <c r="K87" s="5">
        <v>1.0435000000000001</v>
      </c>
      <c r="L87">
        <v>53.61</v>
      </c>
    </row>
    <row r="88" spans="1:12">
      <c r="A88" t="s">
        <v>244</v>
      </c>
      <c r="C88" t="s">
        <v>243</v>
      </c>
      <c r="D88" t="s">
        <v>19</v>
      </c>
      <c r="E88" t="s">
        <v>96</v>
      </c>
      <c r="F88" t="s">
        <v>52</v>
      </c>
      <c r="G88">
        <v>139.69999999999999</v>
      </c>
      <c r="H88" s="6">
        <v>20682575171</v>
      </c>
      <c r="I88">
        <v>88.85</v>
      </c>
      <c r="J88" s="6">
        <v>433585000</v>
      </c>
      <c r="K88" s="5">
        <v>0.2034</v>
      </c>
      <c r="L88">
        <v>16.43</v>
      </c>
    </row>
    <row r="89" spans="1:12">
      <c r="A89" t="s">
        <v>242</v>
      </c>
      <c r="C89" t="s">
        <v>241</v>
      </c>
      <c r="D89" t="s">
        <v>19</v>
      </c>
      <c r="E89" t="s">
        <v>240</v>
      </c>
      <c r="F89" t="s">
        <v>55</v>
      </c>
      <c r="G89">
        <v>53.99</v>
      </c>
      <c r="H89" s="6">
        <v>775940562</v>
      </c>
      <c r="I89">
        <v>88.82</v>
      </c>
      <c r="J89" s="6">
        <v>20300000</v>
      </c>
      <c r="K89" s="5">
        <v>0.1792</v>
      </c>
      <c r="L89">
        <v>63.08</v>
      </c>
    </row>
    <row r="90" spans="1:12">
      <c r="A90" t="s">
        <v>239</v>
      </c>
      <c r="C90" t="s">
        <v>238</v>
      </c>
      <c r="D90" t="s">
        <v>17</v>
      </c>
      <c r="E90" t="s">
        <v>70</v>
      </c>
      <c r="F90" t="s">
        <v>55</v>
      </c>
      <c r="G90">
        <v>79.92</v>
      </c>
      <c r="H90" s="6">
        <v>5580482810</v>
      </c>
      <c r="I90">
        <v>88.8</v>
      </c>
      <c r="J90" s="6">
        <v>15988000</v>
      </c>
      <c r="K90" s="5">
        <v>0.2417</v>
      </c>
      <c r="L90">
        <v>403.86</v>
      </c>
    </row>
    <row r="91" spans="1:12">
      <c r="A91" t="s">
        <v>237</v>
      </c>
      <c r="C91" t="s">
        <v>236</v>
      </c>
      <c r="D91" t="s">
        <v>19</v>
      </c>
      <c r="E91" t="s">
        <v>86</v>
      </c>
      <c r="F91" t="s">
        <v>52</v>
      </c>
      <c r="G91">
        <v>37.700000000000003</v>
      </c>
      <c r="H91" s="6">
        <v>14744730000</v>
      </c>
      <c r="I91">
        <v>88.76</v>
      </c>
      <c r="J91" s="6">
        <v>163000000</v>
      </c>
      <c r="K91" s="5">
        <v>0.2122</v>
      </c>
      <c r="L91">
        <v>175.53</v>
      </c>
    </row>
    <row r="92" spans="1:12">
      <c r="A92" t="s">
        <v>235</v>
      </c>
      <c r="C92" t="s">
        <v>234</v>
      </c>
      <c r="D92" t="s">
        <v>61</v>
      </c>
      <c r="E92" t="s">
        <v>98</v>
      </c>
      <c r="F92" t="s">
        <v>55</v>
      </c>
      <c r="G92">
        <v>81.67</v>
      </c>
      <c r="H92" s="6">
        <v>1932118800</v>
      </c>
      <c r="I92">
        <v>88.72</v>
      </c>
      <c r="J92" s="6">
        <v>22832000</v>
      </c>
      <c r="K92" s="5">
        <v>0.41660000000000003</v>
      </c>
      <c r="L92">
        <v>80.06</v>
      </c>
    </row>
    <row r="93" spans="1:12">
      <c r="A93" t="s">
        <v>233</v>
      </c>
      <c r="C93" t="s">
        <v>232</v>
      </c>
      <c r="D93" t="s">
        <v>53</v>
      </c>
      <c r="E93" t="s">
        <v>204</v>
      </c>
      <c r="F93" t="s">
        <v>52</v>
      </c>
      <c r="G93">
        <v>115.93</v>
      </c>
      <c r="H93" s="6">
        <v>76411696234</v>
      </c>
      <c r="I93">
        <v>88.64</v>
      </c>
      <c r="J93" s="6">
        <v>1852000000</v>
      </c>
      <c r="K93" s="5">
        <v>0.35610000000000003</v>
      </c>
      <c r="L93">
        <v>52.88</v>
      </c>
    </row>
    <row r="94" spans="1:12">
      <c r="A94" t="s">
        <v>231</v>
      </c>
      <c r="C94" t="s">
        <v>230</v>
      </c>
      <c r="D94" t="s">
        <v>19</v>
      </c>
      <c r="E94" t="s">
        <v>195</v>
      </c>
      <c r="F94" t="s">
        <v>55</v>
      </c>
      <c r="G94">
        <v>66.19</v>
      </c>
      <c r="H94" s="6">
        <v>12870218340</v>
      </c>
      <c r="I94">
        <v>88.45</v>
      </c>
      <c r="J94" s="6">
        <v>1947200000</v>
      </c>
      <c r="K94" s="5">
        <v>0.4269</v>
      </c>
      <c r="L94">
        <v>7.49</v>
      </c>
    </row>
    <row r="95" spans="1:12">
      <c r="A95" t="s">
        <v>229</v>
      </c>
      <c r="C95" t="s">
        <v>228</v>
      </c>
      <c r="D95" t="s">
        <v>14</v>
      </c>
      <c r="E95" t="s">
        <v>66</v>
      </c>
      <c r="F95" t="s">
        <v>52</v>
      </c>
      <c r="G95">
        <v>49.52</v>
      </c>
      <c r="H95" s="6">
        <v>2285854157</v>
      </c>
      <c r="I95">
        <v>88.39</v>
      </c>
      <c r="J95" s="6">
        <v>107715000</v>
      </c>
      <c r="K95" s="5">
        <v>0.5171</v>
      </c>
      <c r="L95">
        <v>32.4</v>
      </c>
    </row>
    <row r="96" spans="1:12">
      <c r="A96" t="s">
        <v>227</v>
      </c>
      <c r="C96" t="s">
        <v>226</v>
      </c>
      <c r="D96" t="s">
        <v>61</v>
      </c>
      <c r="E96" t="s">
        <v>67</v>
      </c>
      <c r="F96" t="s">
        <v>55</v>
      </c>
      <c r="G96">
        <v>889.41</v>
      </c>
      <c r="H96" s="6">
        <v>36189250519</v>
      </c>
      <c r="I96">
        <v>87.99</v>
      </c>
      <c r="J96" s="6">
        <v>201061000</v>
      </c>
      <c r="K96" s="5">
        <v>0.63919999999999999</v>
      </c>
      <c r="L96">
        <v>147.5</v>
      </c>
    </row>
    <row r="97" spans="1:12">
      <c r="A97" t="s">
        <v>225</v>
      </c>
      <c r="C97" t="s">
        <v>224</v>
      </c>
      <c r="D97" t="s">
        <v>53</v>
      </c>
      <c r="E97" t="s">
        <v>204</v>
      </c>
      <c r="F97" t="s">
        <v>52</v>
      </c>
      <c r="G97">
        <v>90.49</v>
      </c>
      <c r="H97" s="6">
        <v>66395085746</v>
      </c>
      <c r="I97">
        <v>87.84</v>
      </c>
      <c r="J97" s="6">
        <v>2719000000</v>
      </c>
      <c r="K97" s="5">
        <v>0.40179999999999999</v>
      </c>
      <c r="L97">
        <v>31.71</v>
      </c>
    </row>
    <row r="98" spans="1:12">
      <c r="A98" t="s">
        <v>223</v>
      </c>
      <c r="C98" t="s">
        <v>222</v>
      </c>
      <c r="D98" t="s">
        <v>61</v>
      </c>
      <c r="E98" t="s">
        <v>67</v>
      </c>
      <c r="F98" t="s">
        <v>55</v>
      </c>
      <c r="G98">
        <v>30.93</v>
      </c>
      <c r="H98" s="6">
        <v>19038188730</v>
      </c>
      <c r="I98">
        <v>87.81</v>
      </c>
      <c r="J98" s="6">
        <v>459000000</v>
      </c>
      <c r="K98" s="5">
        <v>0.36749999999999999</v>
      </c>
      <c r="L98">
        <v>47.48</v>
      </c>
    </row>
    <row r="99" spans="1:12">
      <c r="A99" t="s">
        <v>221</v>
      </c>
      <c r="C99" t="s">
        <v>220</v>
      </c>
      <c r="D99" t="s">
        <v>14</v>
      </c>
      <c r="E99" t="s">
        <v>66</v>
      </c>
      <c r="F99" t="s">
        <v>52</v>
      </c>
      <c r="G99">
        <v>53.85</v>
      </c>
      <c r="H99" s="6">
        <v>1753550019</v>
      </c>
      <c r="I99">
        <v>87.75</v>
      </c>
      <c r="J99" s="6">
        <v>43516000</v>
      </c>
      <c r="K99" s="5">
        <v>0.31359999999999999</v>
      </c>
      <c r="L99">
        <v>19.04</v>
      </c>
    </row>
    <row r="100" spans="1:12">
      <c r="A100" t="s">
        <v>219</v>
      </c>
      <c r="C100" t="s">
        <v>218</v>
      </c>
      <c r="D100" t="s">
        <v>53</v>
      </c>
      <c r="E100" t="s">
        <v>54</v>
      </c>
      <c r="F100" t="s">
        <v>52</v>
      </c>
      <c r="G100">
        <v>178.83</v>
      </c>
      <c r="H100" s="6">
        <v>251688593455</v>
      </c>
      <c r="I100">
        <v>87.69</v>
      </c>
      <c r="J100" s="6">
        <v>6028000000</v>
      </c>
      <c r="K100" s="5">
        <v>0.21310000000000001</v>
      </c>
      <c r="L100">
        <v>54.6</v>
      </c>
    </row>
    <row r="101" spans="1:12">
      <c r="A101" t="s">
        <v>217</v>
      </c>
      <c r="C101" t="s">
        <v>216</v>
      </c>
      <c r="D101" t="s">
        <v>53</v>
      </c>
      <c r="E101" t="s">
        <v>54</v>
      </c>
      <c r="F101" t="s">
        <v>55</v>
      </c>
      <c r="G101">
        <v>65.56</v>
      </c>
      <c r="H101" s="6">
        <v>30725659320</v>
      </c>
      <c r="I101">
        <v>87.62</v>
      </c>
      <c r="J101" s="6">
        <v>2154000000</v>
      </c>
      <c r="K101" s="5">
        <v>0.46879999999999999</v>
      </c>
      <c r="L101">
        <v>116.83</v>
      </c>
    </row>
    <row r="102" spans="1:12">
      <c r="A102" t="s">
        <v>215</v>
      </c>
      <c r="C102" t="s">
        <v>214</v>
      </c>
      <c r="D102" t="s">
        <v>19</v>
      </c>
      <c r="E102" t="s">
        <v>213</v>
      </c>
      <c r="F102" t="s">
        <v>55</v>
      </c>
      <c r="G102">
        <v>172.75</v>
      </c>
      <c r="H102" s="6">
        <v>2611625380</v>
      </c>
      <c r="I102">
        <v>87.57</v>
      </c>
      <c r="J102" s="6">
        <v>55875000</v>
      </c>
      <c r="K102" s="5">
        <v>0.17949999999999999</v>
      </c>
      <c r="L102">
        <v>85.85</v>
      </c>
    </row>
    <row r="103" spans="1:12">
      <c r="A103" t="s">
        <v>212</v>
      </c>
      <c r="C103" t="s">
        <v>211</v>
      </c>
      <c r="D103" t="s">
        <v>17</v>
      </c>
      <c r="E103" t="s">
        <v>57</v>
      </c>
      <c r="F103" t="s">
        <v>52</v>
      </c>
      <c r="G103">
        <v>159.88999999999999</v>
      </c>
      <c r="H103" s="6">
        <v>195106013284</v>
      </c>
      <c r="I103">
        <v>87.41</v>
      </c>
      <c r="J103" s="6">
        <v>343000000</v>
      </c>
      <c r="K103" s="5">
        <v>0.24410000000000001</v>
      </c>
      <c r="L103">
        <v>739.04</v>
      </c>
    </row>
    <row r="104" spans="1:12">
      <c r="A104" t="s">
        <v>210</v>
      </c>
      <c r="C104" t="s">
        <v>209</v>
      </c>
      <c r="D104" t="s">
        <v>61</v>
      </c>
      <c r="E104" t="s">
        <v>67</v>
      </c>
      <c r="F104" t="s">
        <v>55</v>
      </c>
      <c r="G104">
        <v>83.15</v>
      </c>
      <c r="H104" s="6">
        <v>9926575290</v>
      </c>
      <c r="I104">
        <v>87.38</v>
      </c>
      <c r="J104" s="6">
        <v>10219000</v>
      </c>
      <c r="K104" s="5">
        <v>0.22639999999999999</v>
      </c>
      <c r="L104">
        <v>512.76</v>
      </c>
    </row>
    <row r="105" spans="1:12">
      <c r="A105" t="s">
        <v>208</v>
      </c>
      <c r="C105" t="s">
        <v>207</v>
      </c>
      <c r="D105" t="s">
        <v>53</v>
      </c>
      <c r="E105" t="s">
        <v>62</v>
      </c>
      <c r="F105" t="s">
        <v>55</v>
      </c>
      <c r="G105">
        <v>36.369999999999997</v>
      </c>
      <c r="H105" s="6">
        <v>359120021</v>
      </c>
      <c r="I105">
        <v>87.01</v>
      </c>
      <c r="J105" s="6">
        <v>13451000</v>
      </c>
      <c r="K105" s="5">
        <v>0.37209999999999999</v>
      </c>
      <c r="L105">
        <v>34.69</v>
      </c>
    </row>
    <row r="106" spans="1:12">
      <c r="A106" t="s">
        <v>206</v>
      </c>
      <c r="C106" t="s">
        <v>205</v>
      </c>
      <c r="D106" t="s">
        <v>53</v>
      </c>
      <c r="E106" t="s">
        <v>204</v>
      </c>
      <c r="F106" t="s">
        <v>52</v>
      </c>
      <c r="G106">
        <v>49.34</v>
      </c>
      <c r="H106" s="6">
        <v>1847776819</v>
      </c>
      <c r="I106">
        <v>86.9</v>
      </c>
      <c r="J106" s="6">
        <v>54533000</v>
      </c>
      <c r="K106" s="5">
        <v>0.16109999999999999</v>
      </c>
      <c r="L106">
        <v>34.65</v>
      </c>
    </row>
    <row r="107" spans="1:12">
      <c r="A107" t="s">
        <v>203</v>
      </c>
      <c r="C107" t="s">
        <v>202</v>
      </c>
      <c r="D107" t="s">
        <v>83</v>
      </c>
      <c r="E107" t="s">
        <v>84</v>
      </c>
      <c r="F107" t="s">
        <v>52</v>
      </c>
      <c r="G107">
        <v>197.11</v>
      </c>
      <c r="H107" s="6">
        <v>40202527187</v>
      </c>
      <c r="I107">
        <v>86.84</v>
      </c>
      <c r="J107" s="6">
        <v>197124000</v>
      </c>
      <c r="K107" s="5">
        <v>0.36809999999999998</v>
      </c>
      <c r="L107">
        <v>980.43</v>
      </c>
    </row>
    <row r="108" spans="1:12">
      <c r="A108" t="s">
        <v>201</v>
      </c>
      <c r="C108" t="s">
        <v>200</v>
      </c>
      <c r="D108" t="s">
        <v>53</v>
      </c>
      <c r="E108" t="s">
        <v>54</v>
      </c>
      <c r="F108" t="s">
        <v>55</v>
      </c>
      <c r="G108">
        <v>95.42</v>
      </c>
      <c r="H108" s="6">
        <v>5058564742</v>
      </c>
      <c r="I108">
        <v>86.8</v>
      </c>
      <c r="J108" s="6">
        <v>544400000</v>
      </c>
      <c r="K108" s="5">
        <v>0.26090000000000002</v>
      </c>
      <c r="L108">
        <v>16.54</v>
      </c>
    </row>
    <row r="109" spans="1:12">
      <c r="A109" t="s">
        <v>199</v>
      </c>
      <c r="C109" t="s">
        <v>198</v>
      </c>
      <c r="D109" t="s">
        <v>60</v>
      </c>
      <c r="E109" t="s">
        <v>121</v>
      </c>
      <c r="F109" t="s">
        <v>55</v>
      </c>
      <c r="G109">
        <v>261.27</v>
      </c>
      <c r="H109" s="6">
        <v>28004242500</v>
      </c>
      <c r="I109">
        <v>86.77</v>
      </c>
      <c r="J109" s="6">
        <v>1036000000</v>
      </c>
      <c r="K109" s="5">
        <v>0.16769999999999999</v>
      </c>
      <c r="L109">
        <v>29.2</v>
      </c>
    </row>
    <row r="110" spans="1:12">
      <c r="A110" t="s">
        <v>197</v>
      </c>
      <c r="C110" t="s">
        <v>196</v>
      </c>
      <c r="D110" t="s">
        <v>19</v>
      </c>
      <c r="E110" t="s">
        <v>195</v>
      </c>
      <c r="F110" t="s">
        <v>52</v>
      </c>
      <c r="G110">
        <v>117.47</v>
      </c>
      <c r="H110" s="6">
        <v>4888027379</v>
      </c>
      <c r="I110">
        <v>86.62</v>
      </c>
      <c r="J110" s="6">
        <v>212305000</v>
      </c>
      <c r="K110" s="5">
        <v>0.31659999999999999</v>
      </c>
      <c r="L110">
        <v>28.2</v>
      </c>
    </row>
    <row r="111" spans="1:12">
      <c r="A111" t="s">
        <v>194</v>
      </c>
      <c r="C111" t="s">
        <v>193</v>
      </c>
      <c r="D111" t="s">
        <v>19</v>
      </c>
      <c r="E111" t="s">
        <v>86</v>
      </c>
      <c r="F111" t="s">
        <v>52</v>
      </c>
      <c r="G111">
        <v>457.96</v>
      </c>
      <c r="H111" s="6">
        <v>62768050639</v>
      </c>
      <c r="I111">
        <v>86.55</v>
      </c>
      <c r="J111" s="6">
        <v>517217000</v>
      </c>
      <c r="K111" s="5">
        <v>0.2218</v>
      </c>
      <c r="L111">
        <v>184.93</v>
      </c>
    </row>
    <row r="112" spans="1:12">
      <c r="A112" t="s">
        <v>192</v>
      </c>
      <c r="C112" t="s">
        <v>191</v>
      </c>
      <c r="D112" t="s">
        <v>17</v>
      </c>
      <c r="E112" t="s">
        <v>57</v>
      </c>
      <c r="F112" t="s">
        <v>52</v>
      </c>
      <c r="G112">
        <v>89.07</v>
      </c>
      <c r="H112" s="6">
        <v>208126586270</v>
      </c>
      <c r="I112">
        <v>86.43</v>
      </c>
      <c r="J112" s="6">
        <v>1113000000</v>
      </c>
      <c r="K112" s="5">
        <v>0.36070000000000002</v>
      </c>
      <c r="L112">
        <v>31.41</v>
      </c>
    </row>
    <row r="113" spans="1:12">
      <c r="A113" t="s">
        <v>190</v>
      </c>
      <c r="C113" t="s">
        <v>189</v>
      </c>
      <c r="D113" t="s">
        <v>53</v>
      </c>
      <c r="E113" t="s">
        <v>62</v>
      </c>
      <c r="F113" t="s">
        <v>55</v>
      </c>
      <c r="G113">
        <v>30</v>
      </c>
      <c r="H113" s="6">
        <v>213413682</v>
      </c>
      <c r="I113">
        <v>86.35</v>
      </c>
      <c r="J113" s="6">
        <v>9083000</v>
      </c>
      <c r="K113" s="5">
        <v>0.19409999999999999</v>
      </c>
      <c r="L113">
        <v>28.97</v>
      </c>
    </row>
    <row r="114" spans="1:12">
      <c r="A114" t="s">
        <v>188</v>
      </c>
      <c r="C114" t="s">
        <v>187</v>
      </c>
      <c r="D114" t="s">
        <v>19</v>
      </c>
      <c r="E114" t="s">
        <v>186</v>
      </c>
      <c r="F114" t="s">
        <v>55</v>
      </c>
      <c r="G114">
        <v>102.12</v>
      </c>
      <c r="H114" s="6">
        <v>1968584310</v>
      </c>
      <c r="I114">
        <v>86.27</v>
      </c>
      <c r="J114" s="6">
        <v>44455000</v>
      </c>
      <c r="K114" s="5">
        <v>0.1739</v>
      </c>
      <c r="L114">
        <v>91.01</v>
      </c>
    </row>
    <row r="115" spans="1:12">
      <c r="A115" t="s">
        <v>185</v>
      </c>
      <c r="C115" t="s">
        <v>184</v>
      </c>
      <c r="D115" t="s">
        <v>53</v>
      </c>
      <c r="E115" t="s">
        <v>62</v>
      </c>
      <c r="F115" t="s">
        <v>52</v>
      </c>
      <c r="G115">
        <v>45.08</v>
      </c>
      <c r="H115" s="6">
        <v>1447997461</v>
      </c>
      <c r="I115">
        <v>85.81</v>
      </c>
      <c r="J115" s="6">
        <v>64184000</v>
      </c>
      <c r="K115" s="5">
        <v>0.73299999999999998</v>
      </c>
      <c r="L115">
        <v>22.55</v>
      </c>
    </row>
    <row r="116" spans="1:12">
      <c r="A116" t="s">
        <v>110</v>
      </c>
      <c r="C116" t="s">
        <v>183</v>
      </c>
      <c r="D116" t="s">
        <v>17</v>
      </c>
      <c r="E116" t="s">
        <v>57</v>
      </c>
      <c r="F116" t="s">
        <v>52</v>
      </c>
      <c r="G116">
        <v>35.25</v>
      </c>
      <c r="H116" s="6">
        <v>3265658564</v>
      </c>
      <c r="I116">
        <v>85.51</v>
      </c>
      <c r="J116" s="6">
        <v>52612000</v>
      </c>
      <c r="K116" s="5">
        <v>0.44769999999999999</v>
      </c>
      <c r="L116">
        <v>115.48</v>
      </c>
    </row>
    <row r="117" spans="1:12">
      <c r="A117" t="s">
        <v>182</v>
      </c>
      <c r="C117" t="s">
        <v>181</v>
      </c>
      <c r="D117" t="s">
        <v>124</v>
      </c>
      <c r="E117" t="s">
        <v>124</v>
      </c>
      <c r="F117" t="s">
        <v>88</v>
      </c>
      <c r="G117">
        <v>127.49</v>
      </c>
      <c r="H117" s="6">
        <v>1196514924</v>
      </c>
      <c r="I117">
        <v>85.24</v>
      </c>
      <c r="J117" s="6">
        <v>9851000</v>
      </c>
      <c r="K117" s="5">
        <v>0.1565</v>
      </c>
      <c r="L117">
        <v>36.06</v>
      </c>
    </row>
    <row r="118" spans="1:12">
      <c r="A118" t="s">
        <v>180</v>
      </c>
      <c r="C118" t="s">
        <v>179</v>
      </c>
      <c r="D118" t="s">
        <v>53</v>
      </c>
      <c r="E118" t="s">
        <v>56</v>
      </c>
      <c r="F118" t="s">
        <v>55</v>
      </c>
      <c r="G118">
        <v>52.99</v>
      </c>
      <c r="H118" s="6">
        <v>4498429883</v>
      </c>
      <c r="I118">
        <v>85.18</v>
      </c>
      <c r="J118" s="6">
        <v>36495000</v>
      </c>
      <c r="K118" s="5">
        <v>0.2072</v>
      </c>
      <c r="L118">
        <v>139.80000000000001</v>
      </c>
    </row>
    <row r="119" spans="1:12">
      <c r="A119" t="s">
        <v>178</v>
      </c>
      <c r="C119" t="s">
        <v>177</v>
      </c>
      <c r="D119" t="s">
        <v>60</v>
      </c>
      <c r="E119" t="s">
        <v>176</v>
      </c>
      <c r="F119" t="s">
        <v>55</v>
      </c>
      <c r="G119">
        <v>124.22</v>
      </c>
      <c r="H119" s="6">
        <v>13265318536</v>
      </c>
      <c r="I119">
        <v>85.08</v>
      </c>
      <c r="J119" s="6">
        <v>310489000</v>
      </c>
      <c r="K119" s="5">
        <v>0.23719999999999999</v>
      </c>
      <c r="L119">
        <v>150.16</v>
      </c>
    </row>
    <row r="120" spans="1:12">
      <c r="A120" t="s">
        <v>175</v>
      </c>
      <c r="C120" t="s">
        <v>174</v>
      </c>
      <c r="D120" t="s">
        <v>19</v>
      </c>
      <c r="E120" t="s">
        <v>89</v>
      </c>
      <c r="F120" t="s">
        <v>52</v>
      </c>
      <c r="G120">
        <v>178.38</v>
      </c>
      <c r="H120" s="6">
        <v>58874307096</v>
      </c>
      <c r="I120">
        <v>85.01</v>
      </c>
      <c r="J120" s="6">
        <v>516700000</v>
      </c>
      <c r="K120" s="5">
        <v>0.17030000000000001</v>
      </c>
      <c r="L120">
        <v>147.74</v>
      </c>
    </row>
  </sheetData>
  <pageMargins left="0.75" right="0.75" top="1" bottom="1" header="0.5" footer="0.5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sqref="A1:B1"/>
    </sheetView>
  </sheetViews>
  <sheetFormatPr defaultRowHeight="15"/>
  <cols>
    <col min="2" max="2" width="5.25" style="2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selection activeCell="F8" sqref="F8"/>
    </sheetView>
  </sheetViews>
  <sheetFormatPr defaultRowHeight="15"/>
  <cols>
    <col min="2" max="2" width="6" style="2" customWidth="1"/>
  </cols>
  <sheetData>
    <row r="1" spans="1:3">
      <c r="A1" s="1" t="s">
        <v>0</v>
      </c>
      <c r="B1" s="1" t="s">
        <v>1</v>
      </c>
    </row>
    <row r="2" spans="1:3">
      <c r="A2" t="s">
        <v>32</v>
      </c>
      <c r="B2" s="2" t="s">
        <v>23</v>
      </c>
      <c r="C2" t="str">
        <f>IF(NOT(ISNA(VLOOKUP(A2,#REF!,1,FALSE))),"Yes","No")</f>
        <v>Yes</v>
      </c>
    </row>
    <row r="3" spans="1:3">
      <c r="A3" t="s">
        <v>33</v>
      </c>
      <c r="B3" s="2" t="s">
        <v>23</v>
      </c>
      <c r="C3" t="str">
        <f>IF(NOT(ISNA(VLOOKUP(A3,#REF!,1,FALSE))),"Yes","No")</f>
        <v>Yes</v>
      </c>
    </row>
    <row r="4" spans="1:3">
      <c r="A4" t="s">
        <v>34</v>
      </c>
      <c r="B4" s="2" t="s">
        <v>23</v>
      </c>
      <c r="C4" t="str">
        <f>IF(NOT(ISNA(VLOOKUP(A4,#REF!,1,FALSE))),"Yes","No")</f>
        <v>Yes</v>
      </c>
    </row>
    <row r="5" spans="1:3">
      <c r="A5" t="s">
        <v>35</v>
      </c>
      <c r="B5" s="2" t="s">
        <v>23</v>
      </c>
      <c r="C5" t="str">
        <f>IF(NOT(ISNA(VLOOKUP(A5,#REF!,1,FALSE))),"Yes","No")</f>
        <v>Yes</v>
      </c>
    </row>
    <row r="6" spans="1:3">
      <c r="A6" t="s">
        <v>36</v>
      </c>
      <c r="B6" s="2" t="s">
        <v>23</v>
      </c>
      <c r="C6" t="str">
        <f>IF(NOT(ISNA(VLOOKUP(A6,#REF!,1,FALSE))),"Yes","No")</f>
        <v>Yes</v>
      </c>
    </row>
    <row r="7" spans="1:3">
      <c r="A7" t="s">
        <v>37</v>
      </c>
      <c r="B7" s="2" t="s">
        <v>23</v>
      </c>
      <c r="C7" t="str">
        <f>IF(NOT(ISNA(VLOOKUP(A7,#REF!,1,FALSE))),"Yes","No")</f>
        <v>Yes</v>
      </c>
    </row>
    <row r="8" spans="1:3">
      <c r="A8" t="s">
        <v>38</v>
      </c>
      <c r="B8" s="2" t="s">
        <v>23</v>
      </c>
      <c r="C8" t="str">
        <f>IF(NOT(ISNA(VLOOKUP(A8,#REF!,1,FALSE))),"Yes","No")</f>
        <v>Yes</v>
      </c>
    </row>
    <row r="9" spans="1:3">
      <c r="A9" t="s">
        <v>39</v>
      </c>
      <c r="B9" s="2" t="s">
        <v>23</v>
      </c>
      <c r="C9" t="str">
        <f>IF(NOT(ISNA(VLOOKUP(A9,#REF!,1,FALSE))),"Yes","No")</f>
        <v>Yes</v>
      </c>
    </row>
    <row r="10" spans="1:3">
      <c r="A10" t="s">
        <v>40</v>
      </c>
      <c r="B10" s="2" t="s">
        <v>23</v>
      </c>
      <c r="C10" t="str">
        <f>IF(NOT(ISNA(VLOOKUP(A10,#REF!,1,FALSE))),"Yes","No")</f>
        <v>Yes</v>
      </c>
    </row>
    <row r="11" spans="1:3">
      <c r="A11" t="s">
        <v>41</v>
      </c>
      <c r="B11" s="2" t="s">
        <v>23</v>
      </c>
      <c r="C11" t="str">
        <f>IF(NOT(ISNA(VLOOKUP(A11,#REF!,1,FALSE))),"Yes","No")</f>
        <v>Yes</v>
      </c>
    </row>
    <row r="12" spans="1:3">
      <c r="A12" t="s">
        <v>42</v>
      </c>
      <c r="B12" s="2" t="s">
        <v>23</v>
      </c>
      <c r="C12" t="str">
        <f>IF(NOT(ISNA(VLOOKUP(A12,#REF!,1,FALSE))),"Yes","No")</f>
        <v>Yes</v>
      </c>
    </row>
    <row r="13" spans="1:3">
      <c r="A13" t="s">
        <v>43</v>
      </c>
      <c r="B13" s="2" t="s">
        <v>23</v>
      </c>
      <c r="C13" t="str">
        <f>IF(NOT(ISNA(VLOOKUP(A13,#REF!,1,FALSE))),"Yes","No")</f>
        <v>Yes</v>
      </c>
    </row>
    <row r="14" spans="1:3">
      <c r="A14" t="s">
        <v>44</v>
      </c>
      <c r="B14" s="2" t="s">
        <v>23</v>
      </c>
      <c r="C14" t="str">
        <f>IF(NOT(ISNA(VLOOKUP(A14,#REF!,1,FALSE))),"Yes","No")</f>
        <v>Yes</v>
      </c>
    </row>
    <row r="15" spans="1:3">
      <c r="A15" t="s">
        <v>45</v>
      </c>
      <c r="B15" s="2" t="s">
        <v>23</v>
      </c>
      <c r="C15" t="str">
        <f>IF(NOT(ISNA(VLOOKUP(A15,#REF!,1,FALSE))),"Yes","No")</f>
        <v>Yes</v>
      </c>
    </row>
    <row r="16" spans="1:3">
      <c r="A16" t="s">
        <v>46</v>
      </c>
      <c r="B16" s="2" t="s">
        <v>23</v>
      </c>
      <c r="C16" t="str">
        <f>IF(NOT(ISNA(VLOOKUP(A16,#REF!,1,FALSE))),"Yes","No")</f>
        <v>Yes</v>
      </c>
    </row>
    <row r="17" spans="1:3">
      <c r="A17" t="s">
        <v>47</v>
      </c>
      <c r="B17" s="2" t="s">
        <v>23</v>
      </c>
      <c r="C17" t="str">
        <f>IF(NOT(ISNA(VLOOKUP(A17,#REF!,1,FALSE))),"Yes","No")</f>
        <v>Yes</v>
      </c>
    </row>
    <row r="18" spans="1:3">
      <c r="A18" t="s">
        <v>48</v>
      </c>
      <c r="B18" s="2" t="s">
        <v>23</v>
      </c>
      <c r="C18" t="str">
        <f>IF(NOT(ISNA(VLOOKUP(A18,#REF!,1,FALSE))),"Yes","No")</f>
        <v>Yes</v>
      </c>
    </row>
    <row r="19" spans="1:3">
      <c r="A19" t="s">
        <v>49</v>
      </c>
      <c r="B19" s="2" t="s">
        <v>23</v>
      </c>
      <c r="C19" t="str">
        <f>IF(NOT(ISNA(VLOOKUP(A19,#REF!,1,FALSE))),"Yes","No")</f>
        <v>Yes</v>
      </c>
    </row>
    <row r="20" spans="1:3">
      <c r="A20" t="s">
        <v>50</v>
      </c>
      <c r="B20" s="2" t="s">
        <v>23</v>
      </c>
      <c r="C20" t="str">
        <f>IF(NOT(ISNA(VLOOKUP(A20,#REF!,1,FALSE))),"Yes","No")</f>
        <v>Yes</v>
      </c>
    </row>
    <row r="21" spans="1:3">
      <c r="A21" t="s">
        <v>51</v>
      </c>
      <c r="B21" s="2" t="s">
        <v>23</v>
      </c>
      <c r="C21" t="str">
        <f>IF(NOT(ISNA(VLOOKUP(A21,#REF!,1,FALSE))),"Yes","No")</f>
        <v>Yes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E38" sqref="E38"/>
    </sheetView>
  </sheetViews>
  <sheetFormatPr defaultRowHeight="15"/>
  <sheetData>
    <row r="1" spans="1:2">
      <c r="A1" t="s">
        <v>0</v>
      </c>
      <c r="B1" t="s">
        <v>1</v>
      </c>
    </row>
    <row r="2" spans="1:2">
      <c r="A2" s="4" t="s">
        <v>133</v>
      </c>
      <c r="B2">
        <v>1</v>
      </c>
    </row>
    <row r="3" spans="1:2">
      <c r="A3" s="4" t="s">
        <v>134</v>
      </c>
    </row>
    <row r="4" spans="1:2">
      <c r="A4" s="4" t="s">
        <v>135</v>
      </c>
      <c r="B4">
        <v>1</v>
      </c>
    </row>
    <row r="5" spans="1:2">
      <c r="A5" s="4" t="s">
        <v>136</v>
      </c>
      <c r="B5">
        <v>1</v>
      </c>
    </row>
    <row r="6" spans="1:2">
      <c r="A6" s="4" t="s">
        <v>137</v>
      </c>
      <c r="B6">
        <v>1</v>
      </c>
    </row>
    <row r="7" spans="1:2">
      <c r="A7" s="4" t="s">
        <v>138</v>
      </c>
      <c r="B7">
        <v>1</v>
      </c>
    </row>
    <row r="8" spans="1:2">
      <c r="A8" s="4" t="s">
        <v>139</v>
      </c>
      <c r="B8">
        <v>1</v>
      </c>
    </row>
    <row r="9" spans="1:2">
      <c r="A9" s="4" t="s">
        <v>140</v>
      </c>
      <c r="B9">
        <v>1</v>
      </c>
    </row>
    <row r="10" spans="1:2">
      <c r="A10" s="4" t="s">
        <v>141</v>
      </c>
      <c r="B10">
        <v>1</v>
      </c>
    </row>
    <row r="11" spans="1:2">
      <c r="A11" s="4" t="s">
        <v>142</v>
      </c>
      <c r="B11">
        <v>1</v>
      </c>
    </row>
    <row r="12" spans="1:2">
      <c r="A12" s="4" t="s">
        <v>143</v>
      </c>
      <c r="B12">
        <v>1</v>
      </c>
    </row>
    <row r="13" spans="1:2">
      <c r="A13" s="4" t="s">
        <v>144</v>
      </c>
      <c r="B13">
        <v>1</v>
      </c>
    </row>
    <row r="14" spans="1:2">
      <c r="A14" s="4" t="s">
        <v>145</v>
      </c>
      <c r="B14">
        <v>2</v>
      </c>
    </row>
    <row r="15" spans="1:2">
      <c r="A15" s="4" t="s">
        <v>146</v>
      </c>
      <c r="B15">
        <v>2</v>
      </c>
    </row>
    <row r="16" spans="1:2">
      <c r="A16" s="4" t="s">
        <v>147</v>
      </c>
      <c r="B16">
        <v>2</v>
      </c>
    </row>
    <row r="17" spans="1:2">
      <c r="A17" s="4" t="s">
        <v>148</v>
      </c>
      <c r="B17">
        <v>2</v>
      </c>
    </row>
    <row r="18" spans="1:2">
      <c r="A18" s="4" t="s">
        <v>149</v>
      </c>
      <c r="B18">
        <v>2</v>
      </c>
    </row>
    <row r="19" spans="1:2">
      <c r="A19" s="4" t="s">
        <v>150</v>
      </c>
      <c r="B19">
        <v>2</v>
      </c>
    </row>
    <row r="20" spans="1:2">
      <c r="A20" s="4" t="s">
        <v>151</v>
      </c>
      <c r="B20">
        <v>2</v>
      </c>
    </row>
    <row r="21" spans="1:2">
      <c r="A21" s="4" t="s">
        <v>152</v>
      </c>
      <c r="B21">
        <v>3</v>
      </c>
    </row>
    <row r="22" spans="1:2">
      <c r="A22" s="4" t="s">
        <v>153</v>
      </c>
      <c r="B22">
        <v>3</v>
      </c>
    </row>
    <row r="23" spans="1:2">
      <c r="A23" s="4" t="s">
        <v>154</v>
      </c>
      <c r="B23">
        <v>4</v>
      </c>
    </row>
    <row r="24" spans="1:2">
      <c r="A24" s="4" t="s">
        <v>155</v>
      </c>
      <c r="B24">
        <v>4</v>
      </c>
    </row>
    <row r="25" spans="1:2">
      <c r="A25" s="4" t="s">
        <v>156</v>
      </c>
      <c r="B25">
        <v>4</v>
      </c>
    </row>
    <row r="26" spans="1:2">
      <c r="A26" s="4" t="s">
        <v>157</v>
      </c>
      <c r="B26">
        <v>4</v>
      </c>
    </row>
    <row r="27" spans="1:2">
      <c r="A27" s="4" t="s">
        <v>158</v>
      </c>
      <c r="B27">
        <v>5</v>
      </c>
    </row>
    <row r="28" spans="1:2">
      <c r="A28" s="4" t="s">
        <v>159</v>
      </c>
      <c r="B28">
        <v>5</v>
      </c>
    </row>
    <row r="29" spans="1:2">
      <c r="A29" s="4" t="s">
        <v>160</v>
      </c>
      <c r="B29">
        <v>5</v>
      </c>
    </row>
    <row r="30" spans="1:2">
      <c r="A30" s="4" t="s">
        <v>161</v>
      </c>
      <c r="B3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Sectors</vt:lpstr>
      <vt:lpstr>rtport</vt:lpstr>
      <vt:lpstr>Winners</vt:lpstr>
      <vt:lpstr>Stocks</vt:lpstr>
      <vt:lpstr>XLB</vt:lpstr>
      <vt:lpstr>Octane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 Thomas</dc:creator>
  <cp:lastModifiedBy>Randall Thomas</cp:lastModifiedBy>
  <dcterms:created xsi:type="dcterms:W3CDTF">2024-06-21T00:59:44Z</dcterms:created>
  <dcterms:modified xsi:type="dcterms:W3CDTF">2025-12-12T04:09:30Z</dcterms:modified>
</cp:coreProperties>
</file>